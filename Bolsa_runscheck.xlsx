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niversidadedecoimbra154-my.sharepoint.com/personal/uc2021230357_student_uc_pt/Documents/"/>
    </mc:Choice>
  </mc:AlternateContent>
  <xr:revisionPtr revIDLastSave="1964" documentId="8_{98564CD3-0958-487E-BEB2-1AE44915A735}" xr6:coauthVersionLast="47" xr6:coauthVersionMax="47" xr10:uidLastSave="{251B9E37-81B4-471C-A464-E6CC5AA98A73}"/>
  <bookViews>
    <workbookView minimized="1" xWindow="4650" yWindow="1875" windowWidth="15375" windowHeight="7785" firstSheet="3" activeTab="8" xr2:uid="{75150083-CF54-46DB-A79F-7D5C27856CEF}"/>
  </bookViews>
  <sheets>
    <sheet name="datasetgen1" sheetId="1" r:id="rId1"/>
    <sheet name="knn_test1" sheetId="2" r:id="rId2"/>
    <sheet name="datasetgen2" sheetId="3" r:id="rId3"/>
    <sheet name="knn_test2" sheetId="4" r:id="rId4"/>
    <sheet name="knn_template" sheetId="6" r:id="rId5"/>
    <sheet name="knn_k3.1" sheetId="7" r:id="rId6"/>
    <sheet name="knn3_koptimal" sheetId="8" r:id="rId7"/>
    <sheet name="datagen3" sheetId="10" r:id="rId8"/>
    <sheet name="knn4_k3"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1" i="2" l="1"/>
  <c r="F10" i="2"/>
  <c r="F9" i="2"/>
  <c r="F7" i="2"/>
  <c r="F6" i="2"/>
  <c r="F8" i="2" s="1"/>
  <c r="F5" i="2"/>
</calcChain>
</file>

<file path=xl/sharedStrings.xml><?xml version="1.0" encoding="utf-8"?>
<sst xmlns="http://schemas.openxmlformats.org/spreadsheetml/2006/main" count="1579" uniqueCount="319">
  <si>
    <t xml:space="preserve">Number of sensor: </t>
  </si>
  <si>
    <t>Number of faults</t>
  </si>
  <si>
    <t>Temperature</t>
  </si>
  <si>
    <t>O2</t>
  </si>
  <si>
    <t>Pressure</t>
  </si>
  <si>
    <t>ALL</t>
  </si>
  <si>
    <t>Bias</t>
  </si>
  <si>
    <t>Drift</t>
  </si>
  <si>
    <t>Stuck</t>
  </si>
  <si>
    <t>Noise</t>
  </si>
  <si>
    <t>Spike</t>
  </si>
  <si>
    <t>X</t>
  </si>
  <si>
    <t xml:space="preserve">Run </t>
  </si>
  <si>
    <t>Samples</t>
  </si>
  <si>
    <t>Dropout</t>
  </si>
  <si>
    <t>ignorar</t>
  </si>
  <si>
    <t>Nota</t>
  </si>
  <si>
    <t>Esta tem a divisao de test e train.</t>
  </si>
  <si>
    <t>Notas</t>
  </si>
  <si>
    <t>Não tem falha</t>
  </si>
  <si>
    <t>Os all dataset estavam errados</t>
  </si>
  <si>
    <t>Stuck tem que ser considerado falha quando existe valores a tender para zero</t>
  </si>
  <si>
    <t xml:space="preserve">Test </t>
  </si>
  <si>
    <t>KNN</t>
  </si>
  <si>
    <t>Two methods of knn</t>
  </si>
  <si>
    <t>Manual</t>
  </si>
  <si>
    <t>Sklearn</t>
  </si>
  <si>
    <t>Confusion Matrix</t>
  </si>
  <si>
    <t>3D SCATTER</t>
  </si>
  <si>
    <t>Accuracy</t>
  </si>
  <si>
    <t>Classification Report</t>
  </si>
  <si>
    <t>Sem normalização</t>
  </si>
  <si>
    <t>Help</t>
  </si>
  <si>
    <t>Precision</t>
  </si>
  <si>
    <t>Recall</t>
  </si>
  <si>
    <t>F1-Score</t>
  </si>
  <si>
    <t>Specificity</t>
  </si>
  <si>
    <t>Type I</t>
  </si>
  <si>
    <t>Type II</t>
  </si>
  <si>
    <t>Confusion Matrix:</t>
  </si>
  <si>
    <t>Com normalização</t>
  </si>
  <si>
    <t>TEMP</t>
  </si>
  <si>
    <t>PRESSURE</t>
  </si>
  <si>
    <t>This one has the validation set with only one run, as the test set.</t>
  </si>
  <si>
    <t xml:space="preserve">Accuracy </t>
  </si>
  <si>
    <t>Scatter Plot</t>
  </si>
  <si>
    <t xml:space="preserve">Train </t>
  </si>
  <si>
    <t xml:space="preserve">Val </t>
  </si>
  <si>
    <t>Test</t>
  </si>
  <si>
    <t>Commentary</t>
  </si>
  <si>
    <t>0.93</t>
  </si>
  <si>
    <t>0.91</t>
  </si>
  <si>
    <t>0.81</t>
  </si>
  <si>
    <t>K = 3</t>
  </si>
  <si>
    <t>The accuracy (train) is better to classify the no_fault that were really no_fault (95%), than the fault who were really fault (89%).  The accuracy is better to classify the no_fault correctly (96%) than the fault (86%).  The validation was a lower level of accuracy, but with the same behaviour as the train. The test shows that it do not predict well faults (precision of 27% and recall of 13%). The fault types are in a group with other non-fault types.</t>
  </si>
  <si>
    <t>0.89</t>
  </si>
  <si>
    <t>0.79</t>
  </si>
  <si>
    <t>k = 21</t>
  </si>
  <si>
    <t>The accuracy of the train is similar to found on the train's accuracy for temperature, eventhought that the precision and the recall for the fault are slightly lower. The accuracy for validation is substantionally lower for the precision (24%) and recall of the fault (63%). The model as a problem of classifying the fault and they being really, no fault. Eventhought that is lower, the model has a better "finger" to predict no-fault type. In conclusion, the problem is that the model says that a given point is fault type, when in reality it is not.</t>
  </si>
  <si>
    <t>0.95</t>
  </si>
  <si>
    <t>Algumas atualizações acerca do anterior  em termos de quantidade de analises! Vai ser corrido com k = 3</t>
  </si>
  <si>
    <t>% fault precision/recall</t>
  </si>
  <si>
    <t>% no-fault precision/recall</t>
  </si>
  <si>
    <t>Purity of group</t>
  </si>
  <si>
    <t>Neighbourhood Distribution</t>
  </si>
  <si>
    <t>Fault distribution on group 1</t>
  </si>
  <si>
    <t>Fault distribution on group 2</t>
  </si>
  <si>
    <t>Fault distribution on group 3</t>
  </si>
  <si>
    <t>Both low (0.85/0.93)</t>
  </si>
  <si>
    <t>Good (0.95/0.96)</t>
  </si>
  <si>
    <t>Recall should be higher, but good</t>
  </si>
  <si>
    <t>(0.89/0.86)</t>
  </si>
  <si>
    <t>0.27/0.13</t>
  </si>
  <si>
    <t>0.80/0.79</t>
  </si>
  <si>
    <t>maj. On g.0</t>
  </si>
  <si>
    <t>Group 2</t>
  </si>
  <si>
    <t>more divided</t>
  </si>
  <si>
    <t>0.18</t>
  </si>
  <si>
    <t>0.3</t>
  </si>
  <si>
    <t>0.2</t>
  </si>
  <si>
    <t>The accuracy is decline in the test dataset, showing that the model is not learning, is sampling. The result is to far way from the objective. The real problem is shown in the validation on the fault detection. Eventhought, the recall is lower than the precision meaning that only 13% of the fault were correctly classified, and only 27% of the fault were really fault.</t>
  </si>
  <si>
    <t>The main problem is to define the fault points, more precisely on recall. Problem: in the validation set, the precision was 0.20 on fault and 0.56 on recall, meaning that in comparation from the is the opposite. It shows that the no-fault precision for the O2 is worse. Eventhought, the results on test set are better than validation, the numbers are still low.</t>
  </si>
  <si>
    <t xml:space="preserve">98% / 90% </t>
  </si>
  <si>
    <t>83% / 77%</t>
  </si>
  <si>
    <t>92%/90%</t>
  </si>
  <si>
    <t>20% /56%</t>
  </si>
  <si>
    <t>65%/73%</t>
  </si>
  <si>
    <t>In the group 3, there is a well distributed between the three. Group 0 as  a lot of test, eventhought the group 1  was none.</t>
  </si>
  <si>
    <t>NaN</t>
  </si>
  <si>
    <t>Train: The recall of no fault is slight lower; Validation: It do not associate any point as fault or were all wrong. Test: Improve on the precision of fault, but recall is still really low (57%).</t>
  </si>
  <si>
    <t>Satisfy</t>
  </si>
  <si>
    <t>69/88</t>
  </si>
  <si>
    <t>87%/satisfy</t>
  </si>
  <si>
    <t>satisfy/90%</t>
  </si>
  <si>
    <t>0%/0%</t>
  </si>
  <si>
    <t>77%/57%</t>
  </si>
  <si>
    <t>Well distributed</t>
  </si>
  <si>
    <t>There are some no fault</t>
  </si>
  <si>
    <t>87%/74%</t>
  </si>
  <si>
    <t>81%/89%</t>
  </si>
  <si>
    <t>44%/30%</t>
  </si>
  <si>
    <t>3%/1%</t>
  </si>
  <si>
    <t>Validation is horrible distributed</t>
  </si>
  <si>
    <t>Train: The recall is lower than precision on fault. Therefore there are some problem to get the fault right. Test: show the worse recall and precision in comparation of validation, which the opposite was the common. In the neighbourhood distribution, the validation has only a group with fault (2) but the test has the fault in the groups 1 and 2, balanced in terms of percentage, not as the value</t>
  </si>
  <si>
    <t>98%/93%</t>
  </si>
  <si>
    <t>96%/93%</t>
  </si>
  <si>
    <t>92%/82%</t>
  </si>
  <si>
    <t>Train, validation shows  a good result, eventhought that the recall of fault is slight low. In the test, the fault  has a recall lower than the objective (82%)</t>
  </si>
  <si>
    <t>Globally well, but validation is weak in the g2 and strong in the g3</t>
  </si>
  <si>
    <t>satisfy</t>
  </si>
  <si>
    <t>97%/90%</t>
  </si>
  <si>
    <t>93%/80%</t>
  </si>
  <si>
    <t>33%/61%</t>
  </si>
  <si>
    <t>90%/54%</t>
  </si>
  <si>
    <t>40%/84%</t>
  </si>
  <si>
    <t>Train: Recall is a bit lower; Val: the values are worse, as the recall of the non fault is lower, eventhought these situations would only appear in the fault points. The problem in the fault appears too, the values are really low, however the precision is now lower than the recall. Test: The accuracy is horrible. There is a pattern is this case, the precision on non fault is satisfied and the recall is low (54%), however the fault pont is the opposite, the recall was high (84%) and precision is low (40%).</t>
  </si>
  <si>
    <t>83%/87%</t>
  </si>
  <si>
    <t>77%/satisfy</t>
  </si>
  <si>
    <t>Refazer os que estao para cima</t>
  </si>
  <si>
    <t>56%/90%</t>
  </si>
  <si>
    <t>Macro avg (prec/recall)</t>
  </si>
  <si>
    <t>90%/91%</t>
  </si>
  <si>
    <t>38%/49%</t>
  </si>
  <si>
    <t>28%/45%</t>
  </si>
  <si>
    <t>Bad distribution on group 1</t>
  </si>
  <si>
    <t>Train: The values of recall and precision on the fault point are slight lower. Val: There is a interessant point, the precision of non fault is low (77%). However the big problem is that the classification of the fault is completely wrong, meaning that the model as usually right when classifying as non fault, but there are cases where the model said it was non fault were fault. Additionally, the model was wrong on the classification of the fault, meaning the model has problems to identify the fault as fault. The main problem in val is precision. All the fault predicted were wrong. Test: Similar problem as the validation, but the values are really worse, more precisely in the precision, therefore the model shows to decrease in the capacity to show determined the predicted class as right. The same as the validation, all the fault predicted were wrong.</t>
  </si>
  <si>
    <t xml:space="preserve"> </t>
  </si>
  <si>
    <t>88%/92%</t>
  </si>
  <si>
    <t>44%/46%</t>
  </si>
  <si>
    <t>67%/94%</t>
  </si>
  <si>
    <t>33%/47%</t>
  </si>
  <si>
    <t>Val: The fault group is value as 0% and 0%. The non fault has a low precision (67%). Therefore, the model have predicted as non fault who were really fault. The model did not get anyway fault correct as fault.  Test: Better result as the val, however it do not any fault as faulr, eventhought the number of predicted of non fault who were actually non  fault were bigger.</t>
  </si>
  <si>
    <t>Val has none percentage in group 1, and a lot on group 2.</t>
  </si>
  <si>
    <t>92%/86%</t>
  </si>
  <si>
    <t>46%/43%</t>
  </si>
  <si>
    <t>91%/91%</t>
  </si>
  <si>
    <t>12%/13%</t>
  </si>
  <si>
    <t>52%/52%</t>
  </si>
  <si>
    <t>Val: The values of non fault are low. The model could not get the right the values of fault as fault, and the predicted faults were really non fault. Test: The model can now predict the fault as fault,  however is still fair away from the objective.. The train is only on group 0, and the train is a minority in group 2. The test and val are not in the group 0.</t>
  </si>
  <si>
    <t>Not well distributed</t>
  </si>
  <si>
    <t>79%/64%</t>
  </si>
  <si>
    <t>85%/80%</t>
  </si>
  <si>
    <t>72%/83%</t>
  </si>
  <si>
    <t>49%/33%</t>
  </si>
  <si>
    <t>61%/58%</t>
  </si>
  <si>
    <t>51%/73%</t>
  </si>
  <si>
    <t>37%/18%</t>
  </si>
  <si>
    <t>44%/48%</t>
  </si>
  <si>
    <t>Not distributed</t>
  </si>
  <si>
    <t>Train: the model has shown some problem in get the actual class of fault who were correctly predicted (64%). Val: Lower accuracy. The fault were incorrectly classify. From the predicted data as fault, half of it really fault and the there were not. The incorrect predicted who were fault were the double of non (1/1). Test: The value got worse, the problem was that a lot of the actual fault were incorrectly predicted.  The validation is too strong on group 1 and none on the group 3.</t>
  </si>
  <si>
    <t>91%/94%</t>
  </si>
  <si>
    <t>81%/73%</t>
  </si>
  <si>
    <t>86%/83%</t>
  </si>
  <si>
    <t>61%/73%</t>
  </si>
  <si>
    <t>12%/7%</t>
  </si>
  <si>
    <t>36%/40%</t>
  </si>
  <si>
    <t>82%/68%</t>
  </si>
  <si>
    <t>10%/19%</t>
  </si>
  <si>
    <t>46%/44%</t>
  </si>
  <si>
    <t>Train: Accuracy is low, the main problem is that the fault class were correctly predicted. Val: The recall is still too low.  Test: Is better..</t>
  </si>
  <si>
    <t>The val is horrible distributed</t>
  </si>
  <si>
    <t>90%/94%</t>
  </si>
  <si>
    <t>78%/70%</t>
  </si>
  <si>
    <t>84%/82%</t>
  </si>
  <si>
    <t>55%/70%</t>
  </si>
  <si>
    <t>17%/10%</t>
  </si>
  <si>
    <t>58%/60%</t>
  </si>
  <si>
    <t>20%/19%</t>
  </si>
  <si>
    <t>39%/39%</t>
  </si>
  <si>
    <t xml:space="preserve">Train: The problem stays the same. </t>
  </si>
  <si>
    <t>92%/91%</t>
  </si>
  <si>
    <t>87%/87%</t>
  </si>
  <si>
    <t>56%/53%</t>
  </si>
  <si>
    <t>94%/94%</t>
  </si>
  <si>
    <t>59%/73%</t>
  </si>
  <si>
    <t>74%/75%</t>
  </si>
  <si>
    <t>satisfy/satisfy</t>
  </si>
  <si>
    <t>35%/44%</t>
  </si>
  <si>
    <t>82%/76%</t>
  </si>
  <si>
    <t>90%/85%</t>
  </si>
  <si>
    <t>63%/59%</t>
  </si>
  <si>
    <t>48%/49%</t>
  </si>
  <si>
    <t>92%/89%</t>
  </si>
  <si>
    <t>Same as the last one, but with k = Optimal</t>
  </si>
  <si>
    <r>
      <t>89%/</t>
    </r>
    <r>
      <rPr>
        <strike/>
        <sz val="11"/>
        <color theme="1"/>
        <rFont val="Aptos Narrow"/>
        <family val="2"/>
        <scheme val="minor"/>
      </rPr>
      <t>86%</t>
    </r>
  </si>
  <si>
    <t>k=3</t>
  </si>
  <si>
    <t>80%/79%</t>
  </si>
  <si>
    <t>85%/93%</t>
  </si>
  <si>
    <t>27%/13%</t>
  </si>
  <si>
    <t xml:space="preserve">The val (not on group 1) and the test (not on group 2) are not really distributed, </t>
  </si>
  <si>
    <t xml:space="preserve">Eventhought the model seems to learn, in the test it shows that the model is not undestand the caracteristics of fault. In  the test format, the model only consise the fault in group one, but the predict it was horrible. </t>
  </si>
  <si>
    <t>89%/86%</t>
  </si>
  <si>
    <t>98%/91%</t>
  </si>
  <si>
    <t>23%/60%</t>
  </si>
  <si>
    <t>60%/89%</t>
  </si>
  <si>
    <t>85%/79%</t>
  </si>
  <si>
    <t>67%/75%</t>
  </si>
  <si>
    <t>76%/77%</t>
  </si>
  <si>
    <t>k=9</t>
  </si>
  <si>
    <t>Bad Distributed</t>
  </si>
  <si>
    <t xml:space="preserve">Fault </t>
  </si>
  <si>
    <t>11% on group 2</t>
  </si>
  <si>
    <t>Group 1 - 75% ; Group 3 - 100%</t>
  </si>
  <si>
    <t xml:space="preserve"> The problem shown in the val where the model say that there is fault, but it is not. That happens in the test too, eventhought in a lower level.  Only one neighbour has fault in the val and in the test. </t>
  </si>
  <si>
    <t>91%/86%</t>
  </si>
  <si>
    <t>95%/92%</t>
  </si>
  <si>
    <t>69%/88%</t>
  </si>
  <si>
    <t>35%/63%</t>
  </si>
  <si>
    <t>87%/96%</t>
  </si>
  <si>
    <t>82%/54%</t>
  </si>
  <si>
    <t>84%/75%</t>
  </si>
  <si>
    <t>The model is not learning what is fault, as everything that was said to be fault was really no fault. In the test the result was better, as it model has better result. Half of the actual fault class, the model said it was wrong. The val has no influence in group 3 and group 5.</t>
  </si>
  <si>
    <t>Bad distributed</t>
  </si>
  <si>
    <t>100 % - group 2 and 3; 16% -group 6; 30% - group 7</t>
  </si>
  <si>
    <t>100% - 6 and 9; 1% - group 7</t>
  </si>
  <si>
    <t>99%/92%</t>
  </si>
  <si>
    <t>98%/96%</t>
  </si>
  <si>
    <t>96%/82%</t>
  </si>
  <si>
    <t>94%/90%</t>
  </si>
  <si>
    <t>Test is the worst distributed</t>
  </si>
  <si>
    <t>100% - group 6; 42% - group 2; 37% group 8</t>
  </si>
  <si>
    <t>100% - group 6; 26% group 7; 21% group 2; 15% group 8</t>
  </si>
  <si>
    <t>It is a good model, where the worst value is the recall of non fault in test. The group 2 and 4 has no data in the val set. The group 6 is set to be only fault (good) and the group 8 and 2 has in both casa (val and test) some fault points. In the composition, the group 3, 5 and 6 is completly the 100% fault.</t>
  </si>
  <si>
    <t>85%/61%</t>
  </si>
  <si>
    <t>88%/79%</t>
  </si>
  <si>
    <t>81%/92%</t>
  </si>
  <si>
    <t>49%/27%</t>
  </si>
  <si>
    <t>65%/59%</t>
  </si>
  <si>
    <t>4%/1%</t>
  </si>
  <si>
    <t>48%/50%</t>
  </si>
  <si>
    <t xml:space="preserve">In the train set, the model show a repetitive pattern of saying that is a  fault, when really is not and consequently the model cannot has no specify  characteristic determined to say that is fault. The same problem is shown in the validation set, therefore the model still don't know what really is fault. In the test set, the model has, as the main problem, predicted as non fault where actually has fault, therefore the model is still confused eventhought in the opposite way. </t>
  </si>
  <si>
    <t>There are no group complete fault.</t>
  </si>
  <si>
    <t>No complete group</t>
  </si>
  <si>
    <t>98%/86%</t>
  </si>
  <si>
    <t>97%/93%</t>
  </si>
  <si>
    <t>93%/84%</t>
  </si>
  <si>
    <t>37%/60%</t>
  </si>
  <si>
    <t>65%/72%</t>
  </si>
  <si>
    <t>91%/56%</t>
  </si>
  <si>
    <t>41%/84%</t>
  </si>
  <si>
    <t>66%/70%</t>
  </si>
  <si>
    <t>Train set: The problem to define cleary the fault, as it says that some points are non fault when they are. In the val set, the problem is other, the model says that it is fault, when in reality is not. Test set: The model get a high value in  the group of non fault predicted that were non fault, but made a lot of mistakes out of the actual class, meaning that the values that was said to be non fault were actualy non fault but it did a lot of mistakes in the actual non fault group, saying that was fault. Therefore, the parameters for it to be fault are not specific enough, saying that is fault when is not. (overfitiing ?)</t>
  </si>
  <si>
    <t>Only a group fully fault (9), some with fault (1,3,5,6)</t>
  </si>
  <si>
    <t>Only a group fully fault (9), some with fault (1,3,5)</t>
  </si>
  <si>
    <t>k =9</t>
  </si>
  <si>
    <t>86%/95%</t>
  </si>
  <si>
    <t>74%/47%</t>
  </si>
  <si>
    <t>80%/71%</t>
  </si>
  <si>
    <t>73%/90%</t>
  </si>
  <si>
    <t>60%/32%</t>
  </si>
  <si>
    <t>66%/61%</t>
  </si>
  <si>
    <t>52%/78%</t>
  </si>
  <si>
    <t>46%/47%</t>
  </si>
  <si>
    <t>39%/16%</t>
  </si>
  <si>
    <t>A lot of group do not have val set. None is completly fault.</t>
  </si>
  <si>
    <t>Only one completly fault (1)</t>
  </si>
  <si>
    <t>Train set: It shows that the model cannot undestand what really is fault, as the percentage of the actual fault group determined has less than half. Therefore the problem could to understand what really is fault. VAL: Same problem, but worse. The precision is lower too. The model shows that almost half of the group that it was said to be non fault were really fault. Eventhought that almost 80% of the actual non fault class were correct, meaning that the model was a tendency to say the more ocurred error is to say that is non fault when is it fault. In the global composition of groups, there are no group completly fault.</t>
  </si>
  <si>
    <t>k= 9</t>
  </si>
  <si>
    <t>87%/93%</t>
  </si>
  <si>
    <t>74%/60%</t>
  </si>
  <si>
    <t>81%/77%</t>
  </si>
  <si>
    <t>61%/76%</t>
  </si>
  <si>
    <t>9%/5%</t>
  </si>
  <si>
    <t>35%/40%</t>
  </si>
  <si>
    <t>82%/71%</t>
  </si>
  <si>
    <t>10%/18%</t>
  </si>
  <si>
    <t>Train. Low value in the recall, the model only got 60% of fault from the dataset correctly determined. Val: The fault class was wrongly determined, as the model must have misdetermined the class of fault as non fault. And bigger the number that was non fault but were defined as fault wrongly. Therefore, the model just don learn what is really fault. TEST: The value of fault class are a shame, the model do not know what is the fault, nor what is non fault as it seems.</t>
  </si>
  <si>
    <t>Completly fault</t>
  </si>
  <si>
    <t>More than 50%</t>
  </si>
  <si>
    <t>Less than 50%</t>
  </si>
  <si>
    <t>Group 3</t>
  </si>
  <si>
    <t>Group 7</t>
  </si>
  <si>
    <t>2 and 6</t>
  </si>
  <si>
    <t>None</t>
  </si>
  <si>
    <t>2, 3 and 6</t>
  </si>
  <si>
    <t>K = 9</t>
  </si>
  <si>
    <t>86%/93%</t>
  </si>
  <si>
    <t>71%/55%</t>
  </si>
  <si>
    <t>79%/74%</t>
  </si>
  <si>
    <t>58%/63%</t>
  </si>
  <si>
    <t>19%/16%</t>
  </si>
  <si>
    <t>38%/39%</t>
  </si>
  <si>
    <t>55%/75%</t>
  </si>
  <si>
    <t>11%/5%</t>
  </si>
  <si>
    <t>33%/40%</t>
  </si>
  <si>
    <t>Train: The model was only classified correctly half of the fault class. VAL: The model still as the same problem, and confused a lot of no fault as fault and vice-versa. The main problem is that it doesn't know what is really fault,  but it get the parameters and characteristic completly mixed. TEST: BEtter in classify non fault, the problem is the fault class. The main error was that the model thought it would be non fault, but were actual fault.</t>
  </si>
  <si>
    <t>2 and 9</t>
  </si>
  <si>
    <t>no fault</t>
  </si>
  <si>
    <t>3, 6 and 8</t>
  </si>
  <si>
    <t>2 and 4</t>
  </si>
  <si>
    <t>1 and 8</t>
  </si>
  <si>
    <t>3 and 6</t>
  </si>
  <si>
    <t>k = 5</t>
  </si>
  <si>
    <t>79%/82%</t>
  </si>
  <si>
    <t>87%/88%</t>
  </si>
  <si>
    <t>77%/98%</t>
  </si>
  <si>
    <t>39%/49%</t>
  </si>
  <si>
    <t>56%/92%</t>
  </si>
  <si>
    <t>28%/46%</t>
  </si>
  <si>
    <t>Train: Has some problem in the precision of fault class. VAL: The model get almost all the non fault correct, but non of the fault class were correctly classified. The model has classified 30% of the group predicted non fault wrongly, meaning that there is a bias or it cannot understand what really is a fault point. TEST: It got worse, as said a bigger percentage of predicted non fault class wrongly, meaning it is classified worse.</t>
  </si>
  <si>
    <t>1 and 5</t>
  </si>
  <si>
    <t>2, 3 and 4</t>
  </si>
  <si>
    <t>2, 4 and 5</t>
  </si>
  <si>
    <t>k =1</t>
  </si>
  <si>
    <t>67%/95%</t>
  </si>
  <si>
    <t>34%/48%</t>
  </si>
  <si>
    <t>88%/94%</t>
  </si>
  <si>
    <t>44%/47%</t>
  </si>
  <si>
    <t xml:space="preserve">VAL: It was not classified any fault point correctly. There are some tendency to say that there is non fault wrongly. The model has really no clue what really is the characteristic of fault. Test: The valus of non fault are better, but the problem with the fault class remains. </t>
  </si>
  <si>
    <t>Only a group</t>
  </si>
  <si>
    <t>Here</t>
  </si>
  <si>
    <t>k = 1</t>
  </si>
  <si>
    <t>91%/93%</t>
  </si>
  <si>
    <t>9%/8%</t>
  </si>
  <si>
    <t>50%/50%</t>
  </si>
  <si>
    <t>Val: The values of fault class are, once again, completely wrong. Test: The value are a little better, but the model still has problem to understand what is really fault.</t>
  </si>
  <si>
    <t>Only has a group</t>
  </si>
  <si>
    <t>samples</t>
  </si>
  <si>
    <t xml:space="preserve">runs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</si>
</sst>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u/>
      <sz val="11"/>
      <color theme="10"/>
      <name val="Aptos Narrow"/>
      <family val="2"/>
      <scheme val="minor"/>
    </font>
    <font>
      <sz val="11"/>
      <color theme="0" tint="-4.9989318521683403E-2"/>
      <name val="Aptos Narrow"/>
      <family val="2"/>
      <scheme val="minor"/>
    </font>
    <font>
      <u/>
      <sz val="11"/>
      <color theme="0" tint="-4.9989318521683403E-2"/>
      <name val="Aptos Narrow"/>
      <family val="2"/>
      <scheme val="minor"/>
    </font>
    <font>
      <u/>
      <sz val="11"/>
      <color theme="0"/>
      <name val="Aptos Narrow"/>
      <family val="2"/>
      <scheme val="minor"/>
    </font>
    <font>
      <sz val="11"/>
      <color theme="1"/>
      <name val="Aptos Narrow"/>
      <family val="2"/>
      <scheme val="minor"/>
    </font>
    <font>
      <sz val="11"/>
      <color rgb="FFFF0000"/>
      <name val="Aptos Narrow"/>
      <family val="2"/>
      <scheme val="minor"/>
    </font>
    <font>
      <sz val="10"/>
      <color theme="1"/>
      <name val="Aptos Narrow"/>
      <family val="2"/>
      <scheme val="minor"/>
    </font>
    <font>
      <u/>
      <sz val="11"/>
      <color rgb="FFC00000"/>
      <name val="Aptos Narrow"/>
      <family val="2"/>
      <scheme val="minor"/>
    </font>
    <font>
      <sz val="10"/>
      <color rgb="FFC00000"/>
      <name val="Aptos Narrow"/>
      <family val="2"/>
      <scheme val="minor"/>
    </font>
    <font>
      <sz val="10"/>
      <color rgb="FFFFC000"/>
      <name val="Aptos Narrow"/>
      <family val="2"/>
      <scheme val="minor"/>
    </font>
    <font>
      <sz val="11"/>
      <color rgb="FFFFC000"/>
      <name val="Aptos Narrow"/>
      <family val="2"/>
      <scheme val="minor"/>
    </font>
    <font>
      <strike/>
      <sz val="11"/>
      <color theme="1"/>
      <name val="Aptos Narrow"/>
      <family val="2"/>
      <scheme val="minor"/>
    </font>
  </fonts>
  <fills count="12">
    <fill>
      <patternFill patternType="none"/>
    </fill>
    <fill>
      <patternFill patternType="gray125"/>
    </fill>
    <fill>
      <patternFill patternType="solid">
        <fgColor theme="5" tint="-0.249977111117893"/>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CF9BA"/>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2" tint="-0.499984740745262"/>
        <bgColor indexed="64"/>
      </patternFill>
    </fill>
    <fill>
      <patternFill patternType="solid">
        <fgColor theme="4" tint="0.59999389629810485"/>
        <bgColor indexed="64"/>
      </patternFill>
    </fill>
  </fills>
  <borders count="2">
    <border>
      <left/>
      <right/>
      <top/>
      <bottom/>
      <diagonal/>
    </border>
    <border>
      <left/>
      <right/>
      <top/>
      <bottom style="thin">
        <color indexed="64"/>
      </bottom>
      <diagonal/>
    </border>
  </borders>
  <cellStyleXfs count="3">
    <xf numFmtId="0" fontId="0" fillId="0" borderId="0"/>
    <xf numFmtId="0" fontId="1" fillId="0" borderId="0" applyNumberFormat="0" applyFill="0" applyBorder="0" applyAlignment="0" applyProtection="0"/>
    <xf numFmtId="9" fontId="5" fillId="0" borderId="0" applyFont="0" applyFill="0" applyBorder="0" applyAlignment="0" applyProtection="0"/>
  </cellStyleXfs>
  <cellXfs count="54">
    <xf numFmtId="0" fontId="0" fillId="0" borderId="0" xfId="0"/>
    <xf numFmtId="0" fontId="0" fillId="0" borderId="0" xfId="0" applyAlignment="1">
      <alignment horizontal="center"/>
    </xf>
    <xf numFmtId="0" fontId="1" fillId="0" borderId="0" xfId="1" applyAlignment="1">
      <alignment horizontal="center"/>
    </xf>
    <xf numFmtId="0" fontId="1" fillId="0" borderId="0" xfId="1" applyAlignment="1">
      <alignment horizontal="center" vertical="center"/>
    </xf>
    <xf numFmtId="0" fontId="2" fillId="2" borderId="0" xfId="0" applyFont="1" applyFill="1"/>
    <xf numFmtId="0" fontId="3" fillId="2" borderId="0" xfId="1" applyFont="1" applyFill="1" applyAlignment="1">
      <alignment horizontal="center"/>
    </xf>
    <xf numFmtId="0" fontId="3" fillId="2" borderId="0" xfId="1" applyFont="1" applyFill="1" applyAlignment="1">
      <alignment horizontal="center" vertical="center"/>
    </xf>
    <xf numFmtId="0" fontId="4" fillId="2" borderId="0" xfId="1" applyFont="1" applyFill="1" applyAlignment="1">
      <alignment horizontal="center" vertical="center"/>
    </xf>
    <xf numFmtId="0" fontId="1" fillId="0" borderId="0" xfId="1" applyFill="1" applyAlignment="1">
      <alignment horizontal="center"/>
    </xf>
    <xf numFmtId="0" fontId="1" fillId="0" borderId="0" xfId="1" applyFill="1" applyAlignment="1">
      <alignment horizontal="center" vertical="center"/>
    </xf>
    <xf numFmtId="9" fontId="0" fillId="0" borderId="0" xfId="0" applyNumberFormat="1"/>
    <xf numFmtId="0" fontId="1" fillId="0" borderId="0" xfId="1"/>
    <xf numFmtId="0" fontId="0" fillId="0" borderId="0" xfId="0" applyAlignment="1">
      <alignment horizontal="center" vertical="center"/>
    </xf>
    <xf numFmtId="9" fontId="0" fillId="0" borderId="0" xfId="0" applyNumberFormat="1" applyAlignment="1">
      <alignment horizontal="center" vertical="center"/>
    </xf>
    <xf numFmtId="0" fontId="0" fillId="7" borderId="0" xfId="0" applyFill="1"/>
    <xf numFmtId="0" fontId="0" fillId="5" borderId="0" xfId="0" applyFill="1"/>
    <xf numFmtId="0" fontId="0" fillId="8" borderId="0" xfId="0" applyFill="1"/>
    <xf numFmtId="0" fontId="0" fillId="9" borderId="0" xfId="0" applyFill="1"/>
    <xf numFmtId="0" fontId="0" fillId="10" borderId="0" xfId="0" applyFill="1"/>
    <xf numFmtId="0" fontId="0" fillId="0" borderId="0" xfId="0" applyAlignment="1">
      <alignment vertical="center"/>
    </xf>
    <xf numFmtId="0" fontId="0" fillId="10" borderId="0" xfId="0" applyFill="1" applyAlignment="1">
      <alignment horizontal="center" vertical="center"/>
    </xf>
    <xf numFmtId="0" fontId="0" fillId="11" borderId="0" xfId="0" applyFill="1"/>
    <xf numFmtId="0" fontId="7" fillId="0" borderId="0" xfId="0" applyFont="1" applyAlignment="1">
      <alignment horizontal="center" vertical="center" wrapText="1"/>
    </xf>
    <xf numFmtId="0" fontId="9" fillId="0" borderId="0" xfId="0" applyFont="1" applyAlignment="1">
      <alignment horizontal="center" vertical="center" wrapText="1"/>
    </xf>
    <xf numFmtId="0" fontId="1" fillId="0" borderId="0" xfId="1" applyAlignment="1">
      <alignment horizontal="center" vertical="center" wrapText="1"/>
    </xf>
    <xf numFmtId="0" fontId="8" fillId="0" borderId="0" xfId="1" applyFont="1" applyAlignment="1">
      <alignment horizontal="center" vertical="center" wrapText="1"/>
    </xf>
    <xf numFmtId="0" fontId="7" fillId="0" borderId="0" xfId="0" applyFont="1" applyAlignment="1">
      <alignment vertical="center" wrapText="1"/>
    </xf>
    <xf numFmtId="0" fontId="7" fillId="10" borderId="0" xfId="0" applyFont="1" applyFill="1" applyAlignment="1">
      <alignment horizontal="center" vertical="center" wrapText="1"/>
    </xf>
    <xf numFmtId="0" fontId="10" fillId="0" borderId="0" xfId="0" applyFont="1" applyAlignment="1">
      <alignment horizontal="center" vertical="center" wrapText="1"/>
    </xf>
    <xf numFmtId="0" fontId="1" fillId="11" borderId="0" xfId="1" applyFill="1"/>
    <xf numFmtId="9" fontId="0" fillId="0" borderId="0" xfId="2" applyFont="1" applyAlignment="1">
      <alignment horizontal="center" vertical="center"/>
    </xf>
    <xf numFmtId="9" fontId="6" fillId="0" borderId="0" xfId="2" applyFont="1" applyAlignment="1">
      <alignment horizontal="center" vertical="center"/>
    </xf>
    <xf numFmtId="9" fontId="11" fillId="0" borderId="0" xfId="2" applyFont="1" applyAlignment="1">
      <alignment horizontal="center" vertical="center"/>
    </xf>
    <xf numFmtId="0" fontId="0" fillId="0" borderId="0" xfId="0" applyAlignment="1">
      <alignment horizontal="center" vertical="top"/>
    </xf>
    <xf numFmtId="9" fontId="6" fillId="0" borderId="0" xfId="0" applyNumberFormat="1" applyFont="1" applyAlignment="1">
      <alignment horizontal="center" vertical="center"/>
    </xf>
    <xf numFmtId="0" fontId="0" fillId="10" borderId="0" xfId="0" applyFill="1" applyAlignment="1">
      <alignment horizontal="center" vertical="top"/>
    </xf>
    <xf numFmtId="0" fontId="1" fillId="0" borderId="0" xfId="1" applyAlignment="1">
      <alignment horizontal="center" vertical="top"/>
    </xf>
    <xf numFmtId="9" fontId="0" fillId="0" borderId="0" xfId="0" applyNumberFormat="1" applyAlignment="1">
      <alignment horizontal="center" vertical="top"/>
    </xf>
    <xf numFmtId="9" fontId="0" fillId="0" borderId="0" xfId="0" applyNumberFormat="1" applyAlignment="1">
      <alignment horizontal="center"/>
    </xf>
    <xf numFmtId="0" fontId="0" fillId="10" borderId="0" xfId="0" applyFill="1" applyAlignment="1">
      <alignment horizontal="center"/>
    </xf>
    <xf numFmtId="0" fontId="1" fillId="0" borderId="0" xfId="1" applyAlignment="1">
      <alignment horizontal="center"/>
    </xf>
    <xf numFmtId="0" fontId="0" fillId="0" borderId="0" xfId="0" applyAlignment="1">
      <alignment horizontal="center"/>
    </xf>
    <xf numFmtId="0" fontId="0" fillId="3" borderId="0" xfId="0" applyFill="1" applyAlignment="1">
      <alignment horizontal="left"/>
    </xf>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center" vertical="top"/>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center" vertical="top" wrapText="1"/>
    </xf>
    <xf numFmtId="0" fontId="0" fillId="0" borderId="1" xfId="0" applyBorder="1" applyAlignment="1">
      <alignment horizontal="center" wrapText="1"/>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FCF9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20</xdr:col>
      <xdr:colOff>448673</xdr:colOff>
      <xdr:row>24</xdr:row>
      <xdr:rowOff>76769</xdr:rowOff>
    </xdr:to>
    <xdr:pic>
      <xdr:nvPicPr>
        <xdr:cNvPr id="2" name="Picture 1">
          <a:extLst>
            <a:ext uri="{FF2B5EF4-FFF2-40B4-BE49-F238E27FC236}">
              <a16:creationId xmlns:a16="http://schemas.microsoft.com/office/drawing/2014/main" id="{5FD63907-D10F-C8DF-1977-D7F29980D664}"/>
            </a:ext>
          </a:extLst>
        </xdr:cNvPr>
        <xdr:cNvPicPr>
          <a:picLocks noChangeAspect="1"/>
        </xdr:cNvPicPr>
      </xdr:nvPicPr>
      <xdr:blipFill>
        <a:blip xmlns:r="http://schemas.openxmlformats.org/officeDocument/2006/relationships" r:embed="rId1"/>
        <a:stretch>
          <a:fillRect/>
        </a:stretch>
      </xdr:blipFill>
      <xdr:spPr>
        <a:xfrm>
          <a:off x="6553200" y="571500"/>
          <a:ext cx="7154273" cy="40772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285749</xdr:colOff>
      <xdr:row>3</xdr:row>
      <xdr:rowOff>109537</xdr:rowOff>
    </xdr:from>
    <xdr:to>
      <xdr:col>13</xdr:col>
      <xdr:colOff>200024</xdr:colOff>
      <xdr:row>10</xdr:row>
      <xdr:rowOff>152401</xdr:rowOff>
    </xdr:to>
    <xdr:sp macro="" textlink="">
      <xdr:nvSpPr>
        <xdr:cNvPr id="2" name="TextBox 1">
          <a:extLst>
            <a:ext uri="{FF2B5EF4-FFF2-40B4-BE49-F238E27FC236}">
              <a16:creationId xmlns:a16="http://schemas.microsoft.com/office/drawing/2014/main" id="{9E80A583-1BA6-B2D8-7E76-98D4B692BBC6}"/>
            </a:ext>
          </a:extLst>
        </xdr:cNvPr>
        <xdr:cNvSpPr txBox="1"/>
      </xdr:nvSpPr>
      <xdr:spPr>
        <a:xfrm>
          <a:off x="4086224" y="681037"/>
          <a:ext cx="4181475" cy="1376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1100"/>
            <a:t>1 -  Summary:</a:t>
          </a:r>
        </a:p>
        <a:p>
          <a:r>
            <a:rPr lang="pt-PT" sz="1100"/>
            <a:t>84%</a:t>
          </a:r>
          <a:r>
            <a:rPr lang="pt-PT" sz="1100" baseline="0"/>
            <a:t> classified as no_faulty, were actually no fault;</a:t>
          </a:r>
        </a:p>
        <a:p>
          <a:r>
            <a:rPr lang="pt-PT" sz="1100" baseline="0"/>
            <a:t>79% of the no_fault were correctly predicted.</a:t>
          </a:r>
        </a:p>
        <a:p>
          <a:r>
            <a:rPr lang="pt-PT" sz="1100" baseline="0"/>
            <a:t>F1-score - 81 (see whar) -- balance </a:t>
          </a:r>
        </a:p>
        <a:p>
          <a:r>
            <a:rPr lang="pt-PT" sz="1100" baseline="0"/>
            <a:t>33% classifed as fault, were actually fault.</a:t>
          </a:r>
        </a:p>
        <a:p>
          <a:r>
            <a:rPr lang="pt-PT" sz="1100" baseline="0"/>
            <a:t>41% of the fault, were correctly predicted</a:t>
          </a:r>
        </a:p>
        <a:p>
          <a:r>
            <a:rPr lang="pt-PT" sz="1100" baseline="0"/>
            <a:t>f1-score - 37%</a:t>
          </a:r>
        </a:p>
        <a:p>
          <a:endParaRPr lang="pt-PT" sz="1100" baseline="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file:///C:\Users\maria\OneDrive\Desktop\bolsa1\testedataset1\stuck\TEMP\fault_detection_TEMP_stuck.png" TargetMode="External"/><Relationship Id="rId21" Type="http://schemas.openxmlformats.org/officeDocument/2006/relationships/hyperlink" Target="file:///C:\Users\maria\OneDrive\Desktop\bolsa1\testedataset1\bias\PRESSURE\fault_detection_PRESSURE_bias.png" TargetMode="External"/><Relationship Id="rId42" Type="http://schemas.openxmlformats.org/officeDocument/2006/relationships/hyperlink" Target="file:///C:\Users\maria\OneDrive\Desktop\bolsa1\testedataset3\drift\PRESSURE\illustrative_drift_PRESSURE.png" TargetMode="External"/><Relationship Id="rId47" Type="http://schemas.openxmlformats.org/officeDocument/2006/relationships/hyperlink" Target="file:///C:\Users\maria\OneDrive\Desktop\bolsa1\testedataset3\noise\TEMP\illustrative_noise_TEMP.png" TargetMode="External"/><Relationship Id="rId63" Type="http://schemas.openxmlformats.org/officeDocument/2006/relationships/hyperlink" Target="file:///C:\Users\maria\OneDrive\Desktop\bolsa1\testedataset5\bias\PRESSURE\illustrative_bias_PRESSURE.png" TargetMode="External"/><Relationship Id="rId68" Type="http://schemas.openxmlformats.org/officeDocument/2006/relationships/hyperlink" Target="file:///C:\Users\maria\OneDrive\Desktop\bolsa1\testedataset5\noise\O2\illustrative_noise_O2.png" TargetMode="External"/><Relationship Id="rId2" Type="http://schemas.openxmlformats.org/officeDocument/2006/relationships/hyperlink" Target="file:///C:\Users\maria\OneDrive\Desktop\bolsa1\testedataset\fault_detection_TEMP_bias.png" TargetMode="External"/><Relationship Id="rId16" Type="http://schemas.openxmlformats.org/officeDocument/2006/relationships/hyperlink" Target="file:///C:\Users\maria\OneDrive\Desktop\bolsa1\testedataset\fault_detection_TEMP_spike.png" TargetMode="External"/><Relationship Id="rId29" Type="http://schemas.openxmlformats.org/officeDocument/2006/relationships/hyperlink" Target="file:///C:\Users\maria\OneDrive\Desktop\bolsa1\testedataset1\dropout\O2\fault_detection_O2_dropout.png" TargetMode="External"/><Relationship Id="rId11" Type="http://schemas.openxmlformats.org/officeDocument/2006/relationships/hyperlink" Target="file:///C:\Users\maria\OneDrive\Desktop\bolsa1\testedataset\fault_detection_O2_dropout.png" TargetMode="External"/><Relationship Id="rId24" Type="http://schemas.openxmlformats.org/officeDocument/2006/relationships/hyperlink" Target="file:///C:\Users\maria\OneDrive\Desktop\bolsa1\testedataset1\drift\PRESSURE\fault_detection_PRESSURE_drift.png" TargetMode="External"/><Relationship Id="rId32" Type="http://schemas.openxmlformats.org/officeDocument/2006/relationships/hyperlink" Target="file:///C:\Users\maria\OneDrive\Desktop\bolsa1\testedataset1\noise\O2\fault_detection_O2_noise.png" TargetMode="External"/><Relationship Id="rId37" Type="http://schemas.openxmlformats.org/officeDocument/2006/relationships/hyperlink" Target="file:///C:\Users\maria\OneDrive\Desktop\bolsa1\testedataset3\bias\TEMP\illustrative_bias_TEMP.png" TargetMode="External"/><Relationship Id="rId40" Type="http://schemas.openxmlformats.org/officeDocument/2006/relationships/hyperlink" Target="file:///C:\Users\maria\OneDrive\Desktop\bolsa1\testedataset3\drift\O2\illustrative_drift_O2.png" TargetMode="External"/><Relationship Id="rId45" Type="http://schemas.openxmlformats.org/officeDocument/2006/relationships/hyperlink" Target="file:///C:\Users\maria\OneDrive\Desktop\bolsa1\testedataset3\stuck\PRESSURE\illustrative_stuck_PRESSURE.png" TargetMode="External"/><Relationship Id="rId53" Type="http://schemas.openxmlformats.org/officeDocument/2006/relationships/hyperlink" Target="file:///C:\Users\maria\OneDrive\Desktop\bolsa1\testedataset4\drift\O2\illustrative_drift_O2.png" TargetMode="External"/><Relationship Id="rId58" Type="http://schemas.openxmlformats.org/officeDocument/2006/relationships/hyperlink" Target="file:///C:\Users\maria\OneDrive\Desktop\bolsa1\testedataset4\noise\TEMP\illustrative_noise_TEMP.png" TargetMode="External"/><Relationship Id="rId66" Type="http://schemas.openxmlformats.org/officeDocument/2006/relationships/hyperlink" Target="file:///C:\Users\maria\OneDrive\Desktop\bolsa1\testedataset5\drift\PRESSURE\illustrative_drift_PRESSURE.png" TargetMode="External"/><Relationship Id="rId5" Type="http://schemas.openxmlformats.org/officeDocument/2006/relationships/hyperlink" Target="file:///C:\Users\maria\OneDrive\Desktop\bolsa1\testedataset\detectionfault_dataset_TEMP_drift_runs300_samples2000.json" TargetMode="External"/><Relationship Id="rId61" Type="http://schemas.openxmlformats.org/officeDocument/2006/relationships/hyperlink" Target="file:///C:\Users\maria\OneDrive\Desktop\bolsa1\testedataset5\bias\TEMP\illustrative_bias_TEMP.png" TargetMode="External"/><Relationship Id="rId19" Type="http://schemas.openxmlformats.org/officeDocument/2006/relationships/hyperlink" Target="file:///C:\Users\maria\OneDrive\Desktop\bolsa1\testedataset1\fault_detection_TEMP_bias.png" TargetMode="External"/><Relationship Id="rId14" Type="http://schemas.openxmlformats.org/officeDocument/2006/relationships/hyperlink" Target="file:///C:\Users\maria\OneDrive\Desktop\bolsa1\testedataset\fault_detection_TEMP_noise.png" TargetMode="External"/><Relationship Id="rId22" Type="http://schemas.openxmlformats.org/officeDocument/2006/relationships/hyperlink" Target="file:///C:\Users\maria\OneDrive\Desktop\bolsa1\testedataset1\drift\O2\fault_detection_O2_drift.png" TargetMode="External"/><Relationship Id="rId27" Type="http://schemas.openxmlformats.org/officeDocument/2006/relationships/hyperlink" Target="file:///C:\Users\maria\OneDrive\Desktop\bolsa1\testedataset1\stuck\PRESSURE\fault_detection_PRESSURE_stuck.png" TargetMode="External"/><Relationship Id="rId30" Type="http://schemas.openxmlformats.org/officeDocument/2006/relationships/hyperlink" Target="file:///C:\Users\maria\OneDrive\Desktop\bolsa1\testedataset1\dropout\PRESSURE\fault_detection_PRESSURE_dropout.png" TargetMode="External"/><Relationship Id="rId35" Type="http://schemas.openxmlformats.org/officeDocument/2006/relationships/hyperlink" Target="file:///C:\Users\maria\OneDrive\Desktop\bolsa1\testedataset1\spike\TEMP\fault_detection_TEMP_spike.png" TargetMode="External"/><Relationship Id="rId43" Type="http://schemas.openxmlformats.org/officeDocument/2006/relationships/hyperlink" Target="file:///C:\Users\maria\OneDrive\Desktop\bolsa1\testedataset3\stuck\O2\illustrative_stuck_O2.png" TargetMode="External"/><Relationship Id="rId48" Type="http://schemas.openxmlformats.org/officeDocument/2006/relationships/hyperlink" Target="file:///C:\Users\maria\OneDrive\Desktop\bolsa1\testedataset3\noise\O2\illustrative_noise_O2.png" TargetMode="External"/><Relationship Id="rId56" Type="http://schemas.openxmlformats.org/officeDocument/2006/relationships/hyperlink" Target="file:///C:\Users\maria\OneDrive\Desktop\bolsa1\testedataset4\stuck\O2\illustrative_stuck_O2.png" TargetMode="External"/><Relationship Id="rId64" Type="http://schemas.openxmlformats.org/officeDocument/2006/relationships/hyperlink" Target="file:///C:\Users\maria\OneDrive\Desktop\bolsa1\testedataset5\drift\TEMP\illustrative_drift_TEMP.png" TargetMode="External"/><Relationship Id="rId69" Type="http://schemas.openxmlformats.org/officeDocument/2006/relationships/hyperlink" Target="file:///C:\Users\maria\OneDrive\Desktop\bolsa1\testedataset6\noise\PRESSURE\illustrative_noise_PRESSURE.png" TargetMode="External"/><Relationship Id="rId8" Type="http://schemas.openxmlformats.org/officeDocument/2006/relationships/hyperlink" Target="file:///C:\Users\maria\OneDrive\Desktop\bolsa1\testedataset\fault_detection_TEMP_stuck.png" TargetMode="External"/><Relationship Id="rId51" Type="http://schemas.openxmlformats.org/officeDocument/2006/relationships/hyperlink" Target="file:///C:\Users\maria\OneDrive\Desktop\bolsa1\testedataset4\bias\PRESSURE\illustrative_bias_PRESSURE.png" TargetMode="External"/><Relationship Id="rId72" Type="http://schemas.openxmlformats.org/officeDocument/2006/relationships/hyperlink" Target="file:///C:\Users\maria\OneDrive\Desktop\bolsa1\testedataset5\stuck\PRESSURE\illustrative_stuck_PRESSURE.png" TargetMode="External"/><Relationship Id="rId3" Type="http://schemas.openxmlformats.org/officeDocument/2006/relationships/hyperlink" Target="file:///C:\Users\maria\OneDrive\Desktop\bolsa1\testedataset\fault_detection_O2_bias.png" TargetMode="External"/><Relationship Id="rId12" Type="http://schemas.openxmlformats.org/officeDocument/2006/relationships/hyperlink" Target="file:///C:\Users\maria\OneDrive\Desktop\bolsa1\testedataset\fault_detection_TEMP_dropout.png" TargetMode="External"/><Relationship Id="rId17" Type="http://schemas.openxmlformats.org/officeDocument/2006/relationships/hyperlink" Target="file:///C:\Users\maria\OneDrive\Desktop\bolsa1\testedataset\fault_detection_O2_spike.png" TargetMode="External"/><Relationship Id="rId25" Type="http://schemas.openxmlformats.org/officeDocument/2006/relationships/hyperlink" Target="file:///C:\Users\maria\OneDrive\Desktop\bolsa1\testedataset1\stuck\O2\fault_detection_O2_stuck.png" TargetMode="External"/><Relationship Id="rId33" Type="http://schemas.openxmlformats.org/officeDocument/2006/relationships/hyperlink" Target="file:///C:\Users\maria\OneDrive\Desktop\bolsa1\testedataset1\noise\PRESSURE\fault_detection_PRESSURE_noise.png" TargetMode="External"/><Relationship Id="rId38" Type="http://schemas.openxmlformats.org/officeDocument/2006/relationships/hyperlink" Target="file:///C:\Users\maria\OneDrive\Desktop\bolsa1\testedataset3\bias\O2\illustrative_bias_O2.png" TargetMode="External"/><Relationship Id="rId46" Type="http://schemas.openxmlformats.org/officeDocument/2006/relationships/hyperlink" Target="file:///C:\Users\maria\OneDrive\Desktop\bolsa1\testedataset3\noise\PRESSURE\illustrative_noise_PRESSURE.png" TargetMode="External"/><Relationship Id="rId59" Type="http://schemas.openxmlformats.org/officeDocument/2006/relationships/hyperlink" Target="file:///C:\Users\maria\OneDrive\Desktop\bolsa1\testedataset4\noise\O2\illustrative_noise_O2.png" TargetMode="External"/><Relationship Id="rId67" Type="http://schemas.openxmlformats.org/officeDocument/2006/relationships/hyperlink" Target="file:///C:\Users\maria\OneDrive\Desktop\bolsa1\testedataset6\noise\TEMP\illustrative_noise_TEMP.png" TargetMode="External"/><Relationship Id="rId20" Type="http://schemas.openxmlformats.org/officeDocument/2006/relationships/hyperlink" Target="file:///C:\Users\maria\OneDrive\Desktop\bolsa1\testedataset1\bias\O2\fault_detection_O2_bias.png" TargetMode="External"/><Relationship Id="rId41" Type="http://schemas.openxmlformats.org/officeDocument/2006/relationships/hyperlink" Target="file:///C:\Users\maria\OneDrive\Desktop\bolsa1\testedataset3\drift\TEMP\illustrative_drift_TEMP.png" TargetMode="External"/><Relationship Id="rId54" Type="http://schemas.openxmlformats.org/officeDocument/2006/relationships/hyperlink" Target="file:///C:\Users\maria\OneDrive\Desktop\bolsa1\testedataset4\drift\PRESSURE\illustrative_drift_PRESSURE.png" TargetMode="External"/><Relationship Id="rId62" Type="http://schemas.openxmlformats.org/officeDocument/2006/relationships/hyperlink" Target="file:///C:\Users\maria\OneDrive\Desktop\bolsa1\testedataset5\bias\O2\illustrative_bias_O2.png" TargetMode="External"/><Relationship Id="rId70" Type="http://schemas.openxmlformats.org/officeDocument/2006/relationships/hyperlink" Target="file:///C:\Users\maria\OneDrive\Desktop\bolsa1\testedataset5\stuck\TEMP\illustrative_stuck_TEMP.png" TargetMode="External"/><Relationship Id="rId1" Type="http://schemas.openxmlformats.org/officeDocument/2006/relationships/hyperlink" Target="file:///C:\Users\maria\OneDrive\Desktop\bolsa1\testedataset\fault_detection_PRESSURE_bias.png" TargetMode="External"/><Relationship Id="rId6" Type="http://schemas.openxmlformats.org/officeDocument/2006/relationships/hyperlink" Target="file:///C:\Users\maria\OneDrive\Desktop\bolsa1\testedataset\fault_detection_PRESSURE_drift.png" TargetMode="External"/><Relationship Id="rId15" Type="http://schemas.openxmlformats.org/officeDocument/2006/relationships/hyperlink" Target="file:///C:\Users\maria\OneDrive\Desktop\bolsa1\testedataset\fault_detection_PRESSURE_noise.png" TargetMode="External"/><Relationship Id="rId23" Type="http://schemas.openxmlformats.org/officeDocument/2006/relationships/hyperlink" Target="file:///C:\Users\maria\OneDrive\Desktop\bolsa1\testedataset1\drift\TEMP\fault_detection_TEMP_drift.png" TargetMode="External"/><Relationship Id="rId28" Type="http://schemas.openxmlformats.org/officeDocument/2006/relationships/hyperlink" Target="file:///C:\Users\maria\OneDrive\Desktop\bolsa1\testedataset1\dropout\TEMP\fault_detection_TEMP_dropout.png" TargetMode="External"/><Relationship Id="rId36" Type="http://schemas.openxmlformats.org/officeDocument/2006/relationships/hyperlink" Target="file:///C:\Users\maria\OneDrive\Desktop\bolsa1\testedataset1\spike\PRESSURE\fault_detection_PRESSURE_spike.png" TargetMode="External"/><Relationship Id="rId49" Type="http://schemas.openxmlformats.org/officeDocument/2006/relationships/hyperlink" Target="file:///C:\Users\maria\OneDrive\Desktop\bolsa1\testedataset4\bias\TEMP\illustrative_bias_TEMP.png" TargetMode="External"/><Relationship Id="rId57" Type="http://schemas.openxmlformats.org/officeDocument/2006/relationships/hyperlink" Target="file:///C:\Users\maria\OneDrive\Desktop\bolsa1\testedataset4\stuck\PRESSURE\illustrative_stuck_PRESSURE.png" TargetMode="External"/><Relationship Id="rId10" Type="http://schemas.openxmlformats.org/officeDocument/2006/relationships/hyperlink" Target="file:///C:\Users\maria\OneDrive\Desktop\bolsa1\testedataset\detectionfault_dataset_PRESSURE_dropout_runs300_samples2000.json" TargetMode="External"/><Relationship Id="rId31" Type="http://schemas.openxmlformats.org/officeDocument/2006/relationships/hyperlink" Target="file:///C:\Users\maria\OneDrive\Desktop\bolsa1\testedataset1\noise\TEMP\fault_detection_TEMP_noise.png" TargetMode="External"/><Relationship Id="rId44" Type="http://schemas.openxmlformats.org/officeDocument/2006/relationships/hyperlink" Target="file:///C:\Users\maria\OneDrive\Desktop\bolsa1\testedataset3\stuck\TEMP\illustrative_stuck_TEMP.png" TargetMode="External"/><Relationship Id="rId52" Type="http://schemas.openxmlformats.org/officeDocument/2006/relationships/hyperlink" Target="file:///C:\Users\maria\OneDrive\Desktop\bolsa1\testedataset4\drift\TEMP\illustrative_drift_TEMP.png" TargetMode="External"/><Relationship Id="rId60" Type="http://schemas.openxmlformats.org/officeDocument/2006/relationships/hyperlink" Target="file:///C:\Users\maria\OneDrive\Desktop\bolsa1\testedataset4\noise\PRESSURE\illustrative_noise_PRESSURE.png" TargetMode="External"/><Relationship Id="rId65" Type="http://schemas.openxmlformats.org/officeDocument/2006/relationships/hyperlink" Target="file:///C:\Users\maria\OneDrive\Desktop\bolsa1\testedataset5\drift\O2\illustrative_drift_O2.png" TargetMode="External"/><Relationship Id="rId73" Type="http://schemas.openxmlformats.org/officeDocument/2006/relationships/drawing" Target="../drawings/drawing1.xml"/><Relationship Id="rId4" Type="http://schemas.openxmlformats.org/officeDocument/2006/relationships/hyperlink" Target="file:///C:\Users\maria\OneDrive\Desktop\bolsa1\testedataset\fault_detection_O2_drift.png" TargetMode="External"/><Relationship Id="rId9" Type="http://schemas.openxmlformats.org/officeDocument/2006/relationships/hyperlink" Target="file:///C:\Users\maria\OneDrive\Desktop\bolsa1\testedataset\fault_detection_O2_stuck.png" TargetMode="External"/><Relationship Id="rId13" Type="http://schemas.openxmlformats.org/officeDocument/2006/relationships/hyperlink" Target="file:///C:\Users\maria\OneDrive\Desktop\bolsa1\testedataset\fault_detection_O2_noise.png" TargetMode="External"/><Relationship Id="rId18" Type="http://schemas.openxmlformats.org/officeDocument/2006/relationships/hyperlink" Target="file:///C:\Users\maria\OneDrive\Desktop\bolsa1\testedataset\fault_detection_PRESSURE_spike.png" TargetMode="External"/><Relationship Id="rId39" Type="http://schemas.openxmlformats.org/officeDocument/2006/relationships/hyperlink" Target="file:///C:\Users\maria\OneDrive\Desktop\bolsa1\testedataset3\bias\PRESSURE\illustrative_bias_PRESSURE.png" TargetMode="External"/><Relationship Id="rId34" Type="http://schemas.openxmlformats.org/officeDocument/2006/relationships/hyperlink" Target="file:///C:\Users\maria\OneDrive\Desktop\bolsa1\testedataset1\spike\O2\fault_detection_O2_spike.png" TargetMode="External"/><Relationship Id="rId50" Type="http://schemas.openxmlformats.org/officeDocument/2006/relationships/hyperlink" Target="file:///C:\Users\maria\OneDrive\Desktop\bolsa1\testedataset4\bias\O2\illustrative_bias_O2.png" TargetMode="External"/><Relationship Id="rId55" Type="http://schemas.openxmlformats.org/officeDocument/2006/relationships/hyperlink" Target="file:///C:\Users\maria\OneDrive\Desktop\bolsa1\testedataset4\stuck\TEMP\illustrative_stuck_TEMP.png" TargetMode="External"/><Relationship Id="rId7" Type="http://schemas.openxmlformats.org/officeDocument/2006/relationships/hyperlink" Target="file:///C:\Users\maria\OneDrive\Desktop\bolsa1\testedataset\fault_detection_PRESSURE_stuck.png" TargetMode="External"/><Relationship Id="rId71" Type="http://schemas.openxmlformats.org/officeDocument/2006/relationships/hyperlink" Target="file:///C:\Users\maria\OneDrive\Desktop\bolsa1\testedataset5\stuck\O2\illustrative_stuck_O2.png"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file:///C:\Users\maria\OneDrive\Desktop\bolsa1\KNN\3d_scatter_plot_sklearn.png" TargetMode="External"/><Relationship Id="rId18" Type="http://schemas.openxmlformats.org/officeDocument/2006/relationships/hyperlink" Target="file:///C:\Users\maria\OneDrive\Desktop\bolsa1\KNN\3d_scatter_plot_manual.png" TargetMode="External"/><Relationship Id="rId26" Type="http://schemas.openxmlformats.org/officeDocument/2006/relationships/hyperlink" Target="file:///C:\Users\maria\OneDrive\Desktop\bolsa1\KNN\classification_report_manual.png" TargetMode="External"/><Relationship Id="rId3" Type="http://schemas.openxmlformats.org/officeDocument/2006/relationships/hyperlink" Target="file:///C:\Users\maria\OneDrive\Desktop\bolsa1\KNN\classification_report_manual.png" TargetMode="External"/><Relationship Id="rId21" Type="http://schemas.openxmlformats.org/officeDocument/2006/relationships/hyperlink" Target="file:///C:\Users\maria\OneDrive\Desktop\bolsa1\KNN\classification_report_sklearn.png" TargetMode="External"/><Relationship Id="rId34" Type="http://schemas.openxmlformats.org/officeDocument/2006/relationships/drawing" Target="../drawings/drawing2.xml"/><Relationship Id="rId7" Type="http://schemas.openxmlformats.org/officeDocument/2006/relationships/hyperlink" Target="https://medium.com/@dataXmlchronicle/mastering-the-concept-of-classification-report-in-machine-learning-514e69eac24c" TargetMode="External"/><Relationship Id="rId12" Type="http://schemas.openxmlformats.org/officeDocument/2006/relationships/hyperlink" Target="file:///C:\Users\maria\OneDrive\Desktop\bolsa1\KNN\3d_scatter_plot_manual.png" TargetMode="External"/><Relationship Id="rId17" Type="http://schemas.openxmlformats.org/officeDocument/2006/relationships/hyperlink" Target="file:///C:\Users\maria\OneDrive\Desktop\bolsa1\KNN\Confusion_Matrix_knn_predict2_sklearn.png" TargetMode="External"/><Relationship Id="rId25" Type="http://schemas.openxmlformats.org/officeDocument/2006/relationships/hyperlink" Target="file:///C:\Users\maria\OneDrive\Desktop\bolsa1\KNN\3d_scatter_plot_sklearn.png" TargetMode="External"/><Relationship Id="rId33" Type="http://schemas.openxmlformats.org/officeDocument/2006/relationships/hyperlink" Target="https://medium.com/@dataXmlchronicle/mastering-the-concept-of-classification-report-in-machine-learning-514e69eac24c" TargetMode="External"/><Relationship Id="rId2" Type="http://schemas.openxmlformats.org/officeDocument/2006/relationships/hyperlink" Target="https://medium.com/@dataXmlchronicle/mastering-the-concept-of-classification-report-in-machine-learning-514e69eac24c" TargetMode="External"/><Relationship Id="rId16" Type="http://schemas.openxmlformats.org/officeDocument/2006/relationships/hyperlink" Target="file:///C:\Users\maria\OneDrive\Desktop\bolsa1\KNN\Confusion_Matrix_knn_predict1.png" TargetMode="External"/><Relationship Id="rId20" Type="http://schemas.openxmlformats.org/officeDocument/2006/relationships/hyperlink" Target="file:///C:\Users\maria\OneDrive\Desktop\bolsa1\KNN\classification_report_manual.png" TargetMode="External"/><Relationship Id="rId29" Type="http://schemas.openxmlformats.org/officeDocument/2006/relationships/hyperlink" Target="https://medium.com/@dataXmlchronicle/mastering-the-concept-of-classification-report-in-machine-learning-514e69eac24c" TargetMode="External"/><Relationship Id="rId1" Type="http://schemas.openxmlformats.org/officeDocument/2006/relationships/hyperlink" Target="file:///C:\Users\maria\OneDrive\Desktop\bolsa1\KNN\classification_report_explained.png" TargetMode="External"/><Relationship Id="rId6" Type="http://schemas.openxmlformats.org/officeDocument/2006/relationships/hyperlink" Target="file:///C:\Users\maria\OneDrive\Desktop\bolsa1\KNN\classification_report_explained.png" TargetMode="External"/><Relationship Id="rId11" Type="http://schemas.openxmlformats.org/officeDocument/2006/relationships/hyperlink" Target="file:///C:\Users\maria\OneDrive\Desktop\bolsa1\KNN\Confusion_Matrix_knn_predict2_sklearn.png" TargetMode="External"/><Relationship Id="rId24" Type="http://schemas.openxmlformats.org/officeDocument/2006/relationships/hyperlink" Target="file:///C:\Users\maria\OneDrive\Desktop\bolsa1\KNN\3d_scatter_plot_manual.png" TargetMode="External"/><Relationship Id="rId32" Type="http://schemas.openxmlformats.org/officeDocument/2006/relationships/hyperlink" Target="file:///C:\Users\maria\OneDrive\Desktop\bolsa1\KNN\classification_report_explained.png" TargetMode="External"/><Relationship Id="rId5" Type="http://schemas.openxmlformats.org/officeDocument/2006/relationships/hyperlink" Target="https://medium.com/@dataXmlchronicle/mastering-the-concept-of-classification-report-in-machine-learning-514e69eac24c" TargetMode="External"/><Relationship Id="rId15" Type="http://schemas.openxmlformats.org/officeDocument/2006/relationships/hyperlink" Target="file:///C:\Users\maria\OneDrive\Desktop\bolsa1\KNN\classification_report_sklearn.png" TargetMode="External"/><Relationship Id="rId23" Type="http://schemas.openxmlformats.org/officeDocument/2006/relationships/hyperlink" Target="file:///C:\Users\maria\OneDrive\Desktop\bolsa1\KNN\Confusion_Matrix_knn_predict2_sklearn.png" TargetMode="External"/><Relationship Id="rId28" Type="http://schemas.openxmlformats.org/officeDocument/2006/relationships/hyperlink" Target="file:///C:\Users\maria\OneDrive\Desktop\bolsa1\KNN\classification_report_explained.png" TargetMode="External"/><Relationship Id="rId10" Type="http://schemas.openxmlformats.org/officeDocument/2006/relationships/hyperlink" Target="file:///C:\Users\maria\OneDrive\Desktop\bolsa1\KNN\Confusion_Matrix_knn_predict1.png" TargetMode="External"/><Relationship Id="rId19" Type="http://schemas.openxmlformats.org/officeDocument/2006/relationships/hyperlink" Target="file:///C:\Users\maria\OneDrive\Desktop\bolsa1\KNN\3d_scatter_plot_sklearn.png" TargetMode="External"/><Relationship Id="rId31" Type="http://schemas.openxmlformats.org/officeDocument/2006/relationships/hyperlink" Target="https://medium.com/@dataXmlchronicle/mastering-the-concept-of-classification-report-in-machine-learning-514e69eac24c" TargetMode="External"/><Relationship Id="rId4" Type="http://schemas.openxmlformats.org/officeDocument/2006/relationships/hyperlink" Target="file:///C:\Users\maria\OneDrive\Desktop\bolsa1\KNN\classification_report_explained.png" TargetMode="External"/><Relationship Id="rId9" Type="http://schemas.openxmlformats.org/officeDocument/2006/relationships/hyperlink" Target="https://medium.com/@dataXmlchronicle/mastering-the-concept-of-classification-report-in-machine-learning-514e69eac24c" TargetMode="External"/><Relationship Id="rId14" Type="http://schemas.openxmlformats.org/officeDocument/2006/relationships/hyperlink" Target="file:///C:\Users\maria\OneDrive\Desktop\bolsa1\KNN\classification_report_manual.png" TargetMode="External"/><Relationship Id="rId22" Type="http://schemas.openxmlformats.org/officeDocument/2006/relationships/hyperlink" Target="file:///C:\Users\maria\OneDrive\Desktop\bolsa1\KNN\Confusion_Matrix_knn_predict1.png" TargetMode="External"/><Relationship Id="rId27" Type="http://schemas.openxmlformats.org/officeDocument/2006/relationships/hyperlink" Target="file:///C:\Users\maria\OneDrive\Desktop\bolsa1\KNN\classification_report_sklearn.png" TargetMode="External"/><Relationship Id="rId30" Type="http://schemas.openxmlformats.org/officeDocument/2006/relationships/hyperlink" Target="file:///C:\Users\maria\OneDrive\Desktop\bolsa1\KNN\classification_report_explained.png" TargetMode="External"/><Relationship Id="rId8" Type="http://schemas.openxmlformats.org/officeDocument/2006/relationships/hyperlink" Target="file:///C:\Users\maria\OneDrive\Desktop\bolsa1\KNN\classification_report_explained.pn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file:///C:\Users\maria\OneDrive\Desktop\bolsa1\test_train_val_test\stuck\O2\illustrative_stuck_O2.png" TargetMode="External"/><Relationship Id="rId3" Type="http://schemas.openxmlformats.org/officeDocument/2006/relationships/hyperlink" Target="file:///C:\Users\maria\OneDrive\Desktop\bolsa1\test_train_val_test\bias\PRESSURE\illustrative_bias_PRESSURE.png" TargetMode="External"/><Relationship Id="rId7" Type="http://schemas.openxmlformats.org/officeDocument/2006/relationships/hyperlink" Target="file:///C:\Users\maria\OneDrive\Desktop\bolsa1\test_train_val_test\stuck\TEMP\illustrative_stuck_TEMP.png" TargetMode="External"/><Relationship Id="rId12" Type="http://schemas.openxmlformats.org/officeDocument/2006/relationships/hyperlink" Target="file:///C:\Users\maria\OneDrive\Desktop\bolsa1\test_train_val_test\noise\PRESSURE\illustrative_noise_PRESSURE.png" TargetMode="External"/><Relationship Id="rId2" Type="http://schemas.openxmlformats.org/officeDocument/2006/relationships/hyperlink" Target="file:///C:\Users\maria\OneDrive\Desktop\bolsa1\test_train_val_test\bias\O2\illustrative_bias_O2.png" TargetMode="External"/><Relationship Id="rId1" Type="http://schemas.openxmlformats.org/officeDocument/2006/relationships/hyperlink" Target="file:///C:\Users\maria\OneDrive\Desktop\bolsa1\test_train_val_test\bias\TEMP\illustrative_bias_TEMP.png" TargetMode="External"/><Relationship Id="rId6" Type="http://schemas.openxmlformats.org/officeDocument/2006/relationships/hyperlink" Target="file:///C:\Users\maria\OneDrive\Desktop\bolsa1\test_train_val_test\drift\PRESSURE\illustrative_drift_PRESSURE.png" TargetMode="External"/><Relationship Id="rId11" Type="http://schemas.openxmlformats.org/officeDocument/2006/relationships/hyperlink" Target="file:///C:\Users\maria\OneDrive\Desktop\bolsa1\test_train_val_test\noise\O2\illustrative_noise_O2.png" TargetMode="External"/><Relationship Id="rId5" Type="http://schemas.openxmlformats.org/officeDocument/2006/relationships/hyperlink" Target="file:///C:\Users\maria\OneDrive\Desktop\bolsa1\test_train_val_test\drift\O2\illustrative_drift_O2.png" TargetMode="External"/><Relationship Id="rId10" Type="http://schemas.openxmlformats.org/officeDocument/2006/relationships/hyperlink" Target="file:///C:\Users\maria\OneDrive\Desktop\bolsa1\test_train_val_test\noise\TEMP\illustrative_noise_TEMP.png" TargetMode="External"/><Relationship Id="rId4" Type="http://schemas.openxmlformats.org/officeDocument/2006/relationships/hyperlink" Target="file:///C:\Users\maria\OneDrive\Desktop\bolsa1\test_train_val_test\drift\TEMP\illustrative_drift_TEMP.png" TargetMode="External"/><Relationship Id="rId9" Type="http://schemas.openxmlformats.org/officeDocument/2006/relationships/hyperlink" Target="file:///C:\Users\maria\OneDrive\Desktop\bolsa1\test_train_val_test\stuck\PRESSURE\illustrative_stuck_PRESSURE.png"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file:///C:\Users\maria\OneDrive\Desktop\bolsa1\KNN\KNN_test_train_val1\bias_results\temperature\classification_report_manual_test.png" TargetMode="External"/><Relationship Id="rId13" Type="http://schemas.openxmlformats.org/officeDocument/2006/relationships/hyperlink" Target="file:///C:\Users\maria\OneDrive\Desktop\bolsa1\KNN\KNN_test_train_val1\bias_results\o2\classification_report_manual_test.png" TargetMode="External"/><Relationship Id="rId18" Type="http://schemas.openxmlformats.org/officeDocument/2006/relationships/hyperlink" Target="file:///C:\Users\maria\OneDrive\Desktop\bolsa1\KNN\KNN_test_train_val1\bias_results\pressure\classification_report_sklearn_train.png" TargetMode="External"/><Relationship Id="rId3" Type="http://schemas.openxmlformats.org/officeDocument/2006/relationships/hyperlink" Target="file:///C:\Users\maria\OneDrive\Desktop\bolsa1\KNN\KNN_test_train_val1\bias_results\temperature\classification_report_manual_test.png" TargetMode="External"/><Relationship Id="rId7" Type="http://schemas.openxmlformats.org/officeDocument/2006/relationships/hyperlink" Target="file:///C:\Users\maria\OneDrive\Desktop\bolsa1\KNN\KNN_test_train_val1\bias_results\temperature\classification_report_manual_validation.png" TargetMode="External"/><Relationship Id="rId12" Type="http://schemas.openxmlformats.org/officeDocument/2006/relationships/hyperlink" Target="file:///C:\Users\maria\OneDrive\Desktop\bolsa1\KNN\KNN_test_train_val1\bias_results\o2\classification_report_manual_validation.png" TargetMode="External"/><Relationship Id="rId17" Type="http://schemas.openxmlformats.org/officeDocument/2006/relationships/hyperlink" Target="file:///C:\Users\maria\OneDrive\Desktop\bolsa1\KNN\KNN_test_train_val1\bias_results\pressure\classification_report_manual_test.png" TargetMode="External"/><Relationship Id="rId2" Type="http://schemas.openxmlformats.org/officeDocument/2006/relationships/hyperlink" Target="file:///C:\Users\maria\OneDrive\Desktop\bolsa1\KNN\KNN_test_train_val1\bias_results\temperature\classification_report_manual_validation.png" TargetMode="External"/><Relationship Id="rId16" Type="http://schemas.openxmlformats.org/officeDocument/2006/relationships/hyperlink" Target="file:///C:\Users\maria\OneDrive\Desktop\bolsa1\KNN\KNN_test_train_val1\bias_results\pressure\classification_report_manual_validation.png" TargetMode="External"/><Relationship Id="rId1" Type="http://schemas.openxmlformats.org/officeDocument/2006/relationships/hyperlink" Target="file:///C:\Users\maria\OneDrive\Desktop\bolsa1\KNN\KNN_test_train_val1\bias_results\temperature\Confusion_Matrix_manual_train.png" TargetMode="External"/><Relationship Id="rId6" Type="http://schemas.openxmlformats.org/officeDocument/2006/relationships/hyperlink" Target="file:///C:\Users\maria\OneDrive\Desktop\bolsa1\KNN\KNN_test_train_val1\bias_results\temperature\classification_report_manual_train.png" TargetMode="External"/><Relationship Id="rId11" Type="http://schemas.openxmlformats.org/officeDocument/2006/relationships/hyperlink" Target="file:///C:\Users\maria\OneDrive\Desktop\bolsa1\KNN\KNN_test_train_val1\bias_results\o2\classification_report_manual_train.png" TargetMode="External"/><Relationship Id="rId5" Type="http://schemas.openxmlformats.org/officeDocument/2006/relationships/hyperlink" Target="file:///C:\Users\maria\OneDrive\Desktop\bolsa1\KNN\KNN_test_train_val1\bias_results\o2\classification_report_manual_train.png" TargetMode="External"/><Relationship Id="rId15" Type="http://schemas.openxmlformats.org/officeDocument/2006/relationships/hyperlink" Target="file:///C:\Users\maria\OneDrive\Desktop\bolsa1\KNN\KNN_test_train_val1\bias_results\pressure\Confusion_Matrix_sklearn_train.png" TargetMode="External"/><Relationship Id="rId10" Type="http://schemas.openxmlformats.org/officeDocument/2006/relationships/hyperlink" Target="file:///C:\Users\maria\OneDrive\Desktop\bolsa1\KNN\KNN_test_train_val1\bias_results\o2\classification_report_manual_test.png" TargetMode="External"/><Relationship Id="rId4" Type="http://schemas.openxmlformats.org/officeDocument/2006/relationships/hyperlink" Target="file:///C:\Users\maria\OneDrive\Desktop\bolsa1\KNN\KNN_test_train_val1\bias_results\temperature\3d_scatter_plot_manual.png" TargetMode="External"/><Relationship Id="rId9" Type="http://schemas.openxmlformats.org/officeDocument/2006/relationships/hyperlink" Target="file:///C:\Users\maria\OneDrive\Desktop\bolsa1\KNN\KNN_test_train_val1\bias_results\o2\classification_report_manual_validation.png" TargetMode="External"/><Relationship Id="rId14" Type="http://schemas.openxmlformats.org/officeDocument/2006/relationships/hyperlink" Target="file:///C:\Users\maria\OneDrive\Desktop\bolsa1\KNN\KNN_test_train_val1\bias_results\o2\3d_scatter_plot_manual.pn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file:///C:\Users\maria\OneDrive\Desktop\bolsa1\KNN\KNN_test_train_val2_k3\bias_results\o2\3d_scatter_plot_validation_manual_by_neighbourhood.png" TargetMode="External"/><Relationship Id="rId18" Type="http://schemas.openxmlformats.org/officeDocument/2006/relationships/hyperlink" Target="file:///C:\Users\maria\OneDrive\Desktop\bolsa1\KNN\KNN_test_train_val2_k3\bias_results\pressure\classification_report_manual_test.png" TargetMode="External"/><Relationship Id="rId26" Type="http://schemas.openxmlformats.org/officeDocument/2006/relationships/hyperlink" Target="file:///C:\Users\maria\OneDrive\Desktop\bolsa1\KNN\KNN_test_train_val2_k3\drift_results\o2\Confusion_Matrix_manual_train.png" TargetMode="External"/><Relationship Id="rId39" Type="http://schemas.openxmlformats.org/officeDocument/2006/relationships/hyperlink" Target="file:///C:\Users\maria\OneDrive\Desktop\bolsa1\KNN\KNN_test_train_val2_k3\stuck_results\o2\Confusion_Matrix_manual_train.png" TargetMode="External"/><Relationship Id="rId21" Type="http://schemas.openxmlformats.org/officeDocument/2006/relationships/hyperlink" Target="file:///C:\Users\maria\OneDrive\Desktop\bolsa1\KNN\KNN_test_train_val2_k3\drift_results\temperature\Confusion_Matrix_sklearn_train.png" TargetMode="External"/><Relationship Id="rId34" Type="http://schemas.openxmlformats.org/officeDocument/2006/relationships/hyperlink" Target="file:///C:\Users\maria\OneDrive\Desktop\bolsa1\KNN\KNN_test_train_val2_k3\drift_results\pressure\3d_scatter_plot_validation_manual_by_neighbourhood.png" TargetMode="External"/><Relationship Id="rId42" Type="http://schemas.openxmlformats.org/officeDocument/2006/relationships/hyperlink" Target="file:///C:\Users\maria\OneDrive\Desktop\bolsa1\KNN\KNN_test_train_val2_k3\stuck_results\o2\3d_scatter_plot_validation_manual_by_neighbourhood.png" TargetMode="External"/><Relationship Id="rId47" Type="http://schemas.openxmlformats.org/officeDocument/2006/relationships/hyperlink" Target="file:///C:\Users\maria\OneDrive\Desktop\bolsa1\KNN\KNN_test_train_val2_k3\stuck_results\pressure\3d_scatter_plot_validation_manual_by_neighbourhood.png" TargetMode="External"/><Relationship Id="rId50" Type="http://schemas.openxmlformats.org/officeDocument/2006/relationships/hyperlink" Target="file:///C:\Users\maria\OneDrive\Desktop\bolsa1\KNN\KNN_test_train_val2_k3\noise_results\temperature\Confusion_Matrix_manual_validation.png" TargetMode="External"/><Relationship Id="rId55" Type="http://schemas.openxmlformats.org/officeDocument/2006/relationships/hyperlink" Target="file:///C:\Users\maria\OneDrive\Desktop\bolsa1\KNN\KNN_test_train_val2_k3\noise_results\o2\Confusion_Matrix_manual_validation.png" TargetMode="External"/><Relationship Id="rId7" Type="http://schemas.openxmlformats.org/officeDocument/2006/relationships/hyperlink" Target="file:///C:\Users\maria\OneDrive\Desktop\bolsa1\KNN\KNN_test_train_val2_k3\bias_results\temperature\3d_scatter_plot_test_manual_by_neighbourhood.png" TargetMode="External"/><Relationship Id="rId2" Type="http://schemas.openxmlformats.org/officeDocument/2006/relationships/hyperlink" Target="file:///C:\Users\maria\OneDrive\Desktop\bolsa1\KNN\KNN_test_train_val2_k3\bias_results\temperature\classification_report_manual_validation.png" TargetMode="External"/><Relationship Id="rId16" Type="http://schemas.openxmlformats.org/officeDocument/2006/relationships/hyperlink" Target="file:///C:\Users\maria\OneDrive\Desktop\bolsa1\KNN\KNN_test_train_val2_k3\bias_results\pressure\Confusion_Matrix_manual_train.png" TargetMode="External"/><Relationship Id="rId29" Type="http://schemas.openxmlformats.org/officeDocument/2006/relationships/hyperlink" Target="file:///C:\Users\maria\OneDrive\Desktop\bolsa1\KNN\KNN_test_train_val2_k3\drift_results\o2\3d_scatter_plot_validation_manual_by_neighbourhood.png" TargetMode="External"/><Relationship Id="rId11" Type="http://schemas.openxmlformats.org/officeDocument/2006/relationships/hyperlink" Target="file:///C:\Users\maria\OneDrive\Desktop\bolsa1\KNN\KNN_test_train_val2_k3\bias_results\o2\classification_report_manual_test.png" TargetMode="External"/><Relationship Id="rId24" Type="http://schemas.openxmlformats.org/officeDocument/2006/relationships/hyperlink" Target="file:///C:\Users\maria\OneDrive\Desktop\bolsa1\KNN\KNN_test_train_val2_k3\drift_results\temperature\3d_scatter_plot_validation_manual_by_neighbourhood.png" TargetMode="External"/><Relationship Id="rId32" Type="http://schemas.openxmlformats.org/officeDocument/2006/relationships/hyperlink" Target="file:///C:\Users\maria\OneDrive\Desktop\bolsa1\KNN\KNN_test_train_val2_k3\drift_results\pressure\Confusion_Matrix_manual_validation.png" TargetMode="External"/><Relationship Id="rId37" Type="http://schemas.openxmlformats.org/officeDocument/2006/relationships/hyperlink" Target="file:///C:\Users\maria\OneDrive\Desktop\bolsa1\KNN\KNN_test_train_val2_k3\stuck_results\temperature\Confusion_Matrix_manual_validation.png" TargetMode="External"/><Relationship Id="rId40" Type="http://schemas.openxmlformats.org/officeDocument/2006/relationships/hyperlink" Target="file:///C:\Users\maria\OneDrive\Desktop\bolsa1\KNN\KNN_test_train_val2_k3\stuck_results\o2\classification_report_manual_validation.png" TargetMode="External"/><Relationship Id="rId45" Type="http://schemas.openxmlformats.org/officeDocument/2006/relationships/hyperlink" Target="file:///C:\Users\maria\OneDrive\Desktop\bolsa1\KNN\KNN_test_train_val2_k3\stuck_results\pressure\Confusion_Matrix_manual_validation.png" TargetMode="External"/><Relationship Id="rId53" Type="http://schemas.openxmlformats.org/officeDocument/2006/relationships/hyperlink" Target="file:///C:\Users\maria\OneDrive\Desktop\bolsa1\KNN\KNN_test_train_val2_k3\noise_results\temperature\3d_scatter_plot_test_manual_by_neighbourhood.png" TargetMode="External"/><Relationship Id="rId58" Type="http://schemas.openxmlformats.org/officeDocument/2006/relationships/hyperlink" Target="file:///C:\Users\maria\OneDrive\Desktop\bolsa1\KNN\KNN_test_train_val2_k3\noise_results\o2\3d_scatter_plot_test_manual_by_neighbourhood.png" TargetMode="External"/><Relationship Id="rId5" Type="http://schemas.openxmlformats.org/officeDocument/2006/relationships/hyperlink" Target="file:///C:\Users\maria\OneDrive\Desktop\bolsa1\KNN\KNN_test_train_val2_k3\bias_results\temperature\classification_report_manual_validation.png" TargetMode="External"/><Relationship Id="rId61" Type="http://schemas.openxmlformats.org/officeDocument/2006/relationships/hyperlink" Target="file:///C:\Users\maria\OneDrive\Desktop\bolsa1\KNN\KNN_test_train_val2_k3\noise_results\pressure\Confusion_Matrix_manual_test.png" TargetMode="External"/><Relationship Id="rId19" Type="http://schemas.openxmlformats.org/officeDocument/2006/relationships/hyperlink" Target="file:///C:\Users\maria\OneDrive\Desktop\bolsa1\KNN\KNN_test_train_val2_k3\bias_results\pressure\3d_scatter_plot_validation_manual_by_neighbourhood.png" TargetMode="External"/><Relationship Id="rId14" Type="http://schemas.openxmlformats.org/officeDocument/2006/relationships/hyperlink" Target="file:///C:\Users\maria\OneDrive\Desktop\bolsa1\KNN\KNN_test_train_val2_k3\bias_results\o2\3d_scatter_plot_test_manual_by_neighbourhood.png" TargetMode="External"/><Relationship Id="rId22" Type="http://schemas.openxmlformats.org/officeDocument/2006/relationships/hyperlink" Target="file:///C:\Users\maria\OneDrive\Desktop\bolsa1\KNN\KNN_test_train_val2_k3\drift_results\temperature\Confusion_Matrix_manual_validation.png" TargetMode="External"/><Relationship Id="rId27" Type="http://schemas.openxmlformats.org/officeDocument/2006/relationships/hyperlink" Target="file:///C:\Users\maria\OneDrive\Desktop\bolsa1\KNN\KNN_test_train_val2_k3\drift_results\o2\Confusion_Matrix_manual_validation.png" TargetMode="External"/><Relationship Id="rId30" Type="http://schemas.openxmlformats.org/officeDocument/2006/relationships/hyperlink" Target="file:///C:\Users\maria\OneDrive\Desktop\bolsa1\KNN\KNN_test_train_val2_k3\drift_results\o2\3d_scatter_plot_test_manual_by_neighbourhood.png" TargetMode="External"/><Relationship Id="rId35" Type="http://schemas.openxmlformats.org/officeDocument/2006/relationships/hyperlink" Target="file:///C:\Users\maria\OneDrive\Desktop\bolsa1\KNN\KNN_test_train_val2_k3\drift_results\pressure\3d_scatter_plot_test_manual_by_neighbourhood.png" TargetMode="External"/><Relationship Id="rId43" Type="http://schemas.openxmlformats.org/officeDocument/2006/relationships/hyperlink" Target="file:///C:\Users\maria\OneDrive\Desktop\bolsa1\KNN\KNN_test_train_val2_k3\stuck_results\o2\3d_scatter_plot_test_manual_by_neighbourhood.png" TargetMode="External"/><Relationship Id="rId48" Type="http://schemas.openxmlformats.org/officeDocument/2006/relationships/hyperlink" Target="file:///C:\Users\maria\OneDrive\Desktop\bolsa1\KNN\KNN_test_train_val2_k3\stuck_results\pressure\3d_scatter_plot_test_manual_by_neighbourhood.png" TargetMode="External"/><Relationship Id="rId56" Type="http://schemas.openxmlformats.org/officeDocument/2006/relationships/hyperlink" Target="file:///C:\Users\maria\OneDrive\Desktop\bolsa1\KNN\KNN_test_train_val2_k3\noise_results\o2\Confusion_Matrix_manual_test.png" TargetMode="External"/><Relationship Id="rId8" Type="http://schemas.openxmlformats.org/officeDocument/2006/relationships/hyperlink" Target="file:///C:\Users\maria\OneDrive\Desktop\bolsa1\KNN\KNN_test_train_val2_k3\bias_results\temperature\3d_scatter_plot_validation_manual_by_neighbourhood.png" TargetMode="External"/><Relationship Id="rId51" Type="http://schemas.openxmlformats.org/officeDocument/2006/relationships/hyperlink" Target="file:///C:\Users\maria\OneDrive\Desktop\bolsa1\KNN\KNN_test_train_val2_k3\noise_results\temperature\classification_report_manual_test.png" TargetMode="External"/><Relationship Id="rId3" Type="http://schemas.openxmlformats.org/officeDocument/2006/relationships/hyperlink" Target="file:///C:\Users\maria\OneDrive\Desktop\bolsa1\KNN\KNN_test_train_val2_k3\bias_results\temperature\classification_report_manual_validation.png" TargetMode="External"/><Relationship Id="rId12" Type="http://schemas.openxmlformats.org/officeDocument/2006/relationships/hyperlink" Target="file:///C:\Users\maria\OneDrive\Desktop\bolsa1\KNN\KNN_test_train_val2_k3\bias_results\o2\metrics_comparison_train_validation_test.png" TargetMode="External"/><Relationship Id="rId17" Type="http://schemas.openxmlformats.org/officeDocument/2006/relationships/hyperlink" Target="file:///C:\Users\maria\OneDrive\Desktop\bolsa1\KNN\KNN_test_train_val2_k3\bias_results\pressure\Confusion_Matrix_manual_validation.png" TargetMode="External"/><Relationship Id="rId25" Type="http://schemas.openxmlformats.org/officeDocument/2006/relationships/hyperlink" Target="file:///C:\Users\maria\OneDrive\Desktop\bolsa1\KNN\KNN_test_train_val2_k3\drift_results\temperature\3d_scatter_plot_test_manual_by_neighbourhood.png" TargetMode="External"/><Relationship Id="rId33" Type="http://schemas.openxmlformats.org/officeDocument/2006/relationships/hyperlink" Target="file:///C:\Users\maria\OneDrive\Desktop\bolsa1\KNN\KNN_test_train_val2_k3\drift_results\pressure\classification_report_manual_validation.png" TargetMode="External"/><Relationship Id="rId38" Type="http://schemas.openxmlformats.org/officeDocument/2006/relationships/hyperlink" Target="file:///C:\Users\maria\OneDrive\Desktop\bolsa1\KNN\KNN_test_train_val2_k3\stuck_results\temperature\Confusion_Matrix_manual_test.png" TargetMode="External"/><Relationship Id="rId46" Type="http://schemas.openxmlformats.org/officeDocument/2006/relationships/hyperlink" Target="file:///C:\Users\maria\OneDrive\Desktop\bolsa1\KNN\KNN_test_train_val2_k3\stuck_results\pressure\Confusion_Matrix_manual_validation.png" TargetMode="External"/><Relationship Id="rId59" Type="http://schemas.openxmlformats.org/officeDocument/2006/relationships/hyperlink" Target="file:///C:\Users\maria\OneDrive\Desktop\bolsa1\KNN\KNN_test_train_val2_k3\noise_results\pressure\Confusion_Matrix_manual_train.png" TargetMode="External"/><Relationship Id="rId20" Type="http://schemas.openxmlformats.org/officeDocument/2006/relationships/hyperlink" Target="file:///C:\Users\maria\OneDrive\Desktop\bolsa1\KNN\KNN_test_train_val2_k3\bias_results\pressure\3d_scatter_plot_test_manual_by_neighbourhood.png" TargetMode="External"/><Relationship Id="rId41" Type="http://schemas.openxmlformats.org/officeDocument/2006/relationships/hyperlink" Target="file:///C:\Users\maria\OneDrive\Desktop\bolsa1\KNN\KNN_test_train_val2_k3\stuck_results\o2\Confusion_Matrix_manual_test.png" TargetMode="External"/><Relationship Id="rId54" Type="http://schemas.openxmlformats.org/officeDocument/2006/relationships/hyperlink" Target="file:///C:\Users\maria\OneDrive\Desktop\bolsa1\KNN\KNN_test_train_val2_k3\noise_results\o2\Confusion_Matrix_manual_train.png" TargetMode="External"/><Relationship Id="rId1" Type="http://schemas.openxmlformats.org/officeDocument/2006/relationships/hyperlink" Target="file:///C:\Users\maria\OneDrive\Desktop\bolsa1\KNN\KNN_test_train_val2_k3\bias_results\temperature\Confusion_Matrix_manual_train.png" TargetMode="External"/><Relationship Id="rId6" Type="http://schemas.openxmlformats.org/officeDocument/2006/relationships/hyperlink" Target="file:///C:\Users\maria\OneDrive\Desktop\bolsa1\KNN\KNN_test_train_val2_k3\bias_results\temperature\classification_report_manual_test.png" TargetMode="External"/><Relationship Id="rId15" Type="http://schemas.openxmlformats.org/officeDocument/2006/relationships/hyperlink" Target="file:///C:\Users\maria\OneDrive\Desktop\bolsa1\KNN\KNN_test_train_val2_k3\bias_results\pressure\metrics_comparison_train_validation_test.png" TargetMode="External"/><Relationship Id="rId23" Type="http://schemas.openxmlformats.org/officeDocument/2006/relationships/hyperlink" Target="file:///C:\Users\maria\OneDrive\Desktop\bolsa1\KNN\KNN_test_train_val2_k3\drift_results\temperature\Confusion_Matrix_manual_test.png" TargetMode="External"/><Relationship Id="rId28" Type="http://schemas.openxmlformats.org/officeDocument/2006/relationships/hyperlink" Target="file:///C:\Users\maria\OneDrive\Desktop\bolsa1\KNN\KNN_test_train_val2_k3\drift_results\o2\classification_report_manual_test.png" TargetMode="External"/><Relationship Id="rId36" Type="http://schemas.openxmlformats.org/officeDocument/2006/relationships/hyperlink" Target="file:///C:\Users\maria\OneDrive\Desktop\bolsa1\KNN\KNN_test_train_val2_k3\stuck_results\temperature\Confusion_Matrix_manual_train.png" TargetMode="External"/><Relationship Id="rId49" Type="http://schemas.openxmlformats.org/officeDocument/2006/relationships/hyperlink" Target="file:///C:\Users\maria\OneDrive\Desktop\bolsa1\KNN\KNN_test_train_val2_k3\noise_results\temperature\Confusion_Matrix_manual_train.png" TargetMode="External"/><Relationship Id="rId57" Type="http://schemas.openxmlformats.org/officeDocument/2006/relationships/hyperlink" Target="file:///C:\Users\maria\OneDrive\Desktop\bolsa1\KNN\KNN_test_train_val2_k3\noise_results\o2\3d_scatter_plot_validation_manual_by_neighbourhood.png" TargetMode="External"/><Relationship Id="rId10" Type="http://schemas.openxmlformats.org/officeDocument/2006/relationships/hyperlink" Target="file:///C:\Users\maria\OneDrive\Desktop\bolsa1\KNN\KNN_test_train_val2_k3\bias_results\o2\classification_report_sklearn_validation.png" TargetMode="External"/><Relationship Id="rId31" Type="http://schemas.openxmlformats.org/officeDocument/2006/relationships/hyperlink" Target="file:///C:\Users\maria\OneDrive\Desktop\bolsa1\KNN\KNN_test_train_val2_k3\drift_results\pressure\Confusion_Matrix_manual_train.png" TargetMode="External"/><Relationship Id="rId44" Type="http://schemas.openxmlformats.org/officeDocument/2006/relationships/hyperlink" Target="file:///C:\Users\maria\OneDrive\Desktop\bolsa1\KNN\KNN_test_train_val2_k3\stuck_results\pressure\classification_report_sklearn_train.png" TargetMode="External"/><Relationship Id="rId52" Type="http://schemas.openxmlformats.org/officeDocument/2006/relationships/hyperlink" Target="file:///C:\Users\maria\OneDrive\Desktop\bolsa1\KNN\KNN_test_train_val2_k3\noise_results\temperature\3d_scatter_plot_validation_manual_by_neighbourhood.png" TargetMode="External"/><Relationship Id="rId60" Type="http://schemas.openxmlformats.org/officeDocument/2006/relationships/hyperlink" Target="file:///C:\Users\maria\OneDrive\Desktop\bolsa1\KNN\KNN_test_train_val2_k3\noise_results\pressure\Confusion_Matrix_manual_validation.png" TargetMode="External"/><Relationship Id="rId4" Type="http://schemas.openxmlformats.org/officeDocument/2006/relationships/hyperlink" Target="file:///C:\Users\maria\OneDrive\Desktop\bolsa1\KNN\KNN_test_train_val2_k3\bias_results\temperature\classification_report_manual_train.png" TargetMode="External"/><Relationship Id="rId9" Type="http://schemas.openxmlformats.org/officeDocument/2006/relationships/hyperlink" Target="file:///C:\Users\maria\OneDrive\Desktop\bolsa1\KNN\KNN_test_train_val2_k3\bias_results\o2\Confusion_Matrix_manual_train.pn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file:///C:\Users\maria\OneDrive\Desktop\bolsa1\KNN\KNN_test_train_val3_koptimal\drift_results\o2\3d_scatter_plot_validation_manual_by_neighbourhood.png" TargetMode="External"/><Relationship Id="rId13" Type="http://schemas.openxmlformats.org/officeDocument/2006/relationships/hyperlink" Target="file:///C:\Users\maria\OneDrive\Desktop\bolsa1\KNN\KNN_test_train_val3_koptimal\drift_results\pressure\3d_scatter_plot_test_manual_by_neighbourhood.png" TargetMode="External"/><Relationship Id="rId18" Type="http://schemas.openxmlformats.org/officeDocument/2006/relationships/hyperlink" Target="file:///C:\Users\maria\OneDrive\Desktop\bolsa1\KNN\KNN_test_train_val3_koptimal\noise_results\pressure\3d_scatter_plot_validation_manual_by_neighbourhood.png" TargetMode="External"/><Relationship Id="rId3" Type="http://schemas.openxmlformats.org/officeDocument/2006/relationships/hyperlink" Target="file:///C:\Users\maria\OneDrive\Desktop\bolsa1\KNN\KNN_test_train_val3_koptimal\bias_results\temperature\Confusion_Matrix_manual_validation.png" TargetMode="External"/><Relationship Id="rId21" Type="http://schemas.openxmlformats.org/officeDocument/2006/relationships/hyperlink" Target="file:///C:\Users\maria\OneDrive\Desktop\bolsa1\KNN\KNN_test_train_val3_koptimal\stuck_results\temperature\3d_scatter_plot_test_manual_by_neighbourhood.png" TargetMode="External"/><Relationship Id="rId7" Type="http://schemas.openxmlformats.org/officeDocument/2006/relationships/hyperlink" Target="file:///C:\Users\maria\OneDrive\Desktop\bolsa1\KNN\KNN_test_train_val3_koptimal\bias_results\o2\3d_scatter_plot_test_manual_by_neighbourhood.png" TargetMode="External"/><Relationship Id="rId12" Type="http://schemas.openxmlformats.org/officeDocument/2006/relationships/hyperlink" Target="file:///C:\Users\maria\OneDrive\Desktop\bolsa1\KNN\KNN_test_train_val3_koptimal\drift_results\pressure\3d_scatter_plot_validation_manual_by_neighbourhood.png" TargetMode="External"/><Relationship Id="rId17" Type="http://schemas.openxmlformats.org/officeDocument/2006/relationships/hyperlink" Target="file:///C:\Users\maria\OneDrive\Desktop\bolsa1\KNN\KNN_test_train_val3_koptimal\noise_results\o2\3d_scatter_plot_test_manual_by_neighbourhood.png" TargetMode="External"/><Relationship Id="rId25" Type="http://schemas.openxmlformats.org/officeDocument/2006/relationships/hyperlink" Target="file:///C:\Users\maria\OneDrive\Desktop\bolsa1\KNN\KNN_test_train_val3_koptimal\stuck_results\pressure\3d_scatter_plot_test_manual_by_neighbourhood.png" TargetMode="External"/><Relationship Id="rId2" Type="http://schemas.openxmlformats.org/officeDocument/2006/relationships/hyperlink" Target="file:///C:\Users\maria\OneDrive\Desktop\bolsa1\KNN\KNN_test_train_val3_koptimal\bias_results\temperature\Confusion_Matrix_manual_validation.png" TargetMode="External"/><Relationship Id="rId16" Type="http://schemas.openxmlformats.org/officeDocument/2006/relationships/hyperlink" Target="file:///C:\Users\maria\OneDrive\Desktop\bolsa1\KNN\KNN_test_train_val3_koptimal\noise_results\o2\3d_scatter_plot_validation_manual_by_neighbourhood.png" TargetMode="External"/><Relationship Id="rId20" Type="http://schemas.openxmlformats.org/officeDocument/2006/relationships/hyperlink" Target="file:///C:\Users\maria\OneDrive\Desktop\bolsa1\KNN\KNN_test_train_val3_koptimal\stuck_results\temperature\3d_scatter_plot_validation_manual_by_neighbourhood.png" TargetMode="External"/><Relationship Id="rId1" Type="http://schemas.openxmlformats.org/officeDocument/2006/relationships/hyperlink" Target="file:///C:\Users\maria\OneDrive\Desktop\bolsa1\KNN\KNN_test_train_val3_koptimal\bias_results\temperature\Confusion_Matrix_manual_train.png" TargetMode="External"/><Relationship Id="rId6" Type="http://schemas.openxmlformats.org/officeDocument/2006/relationships/hyperlink" Target="file:///C:\Users\maria\OneDrive\Desktop\bolsa1\KNN\KNN_test_train_val3_koptimal\bias_results\o2\3d_scatter_plot_validation_manual_by_neighbourhood.png" TargetMode="External"/><Relationship Id="rId11" Type="http://schemas.openxmlformats.org/officeDocument/2006/relationships/hyperlink" Target="file:///C:\Users\maria\OneDrive\Desktop\bolsa1\KNN\KNN_test_train_val3_koptimal\drift_results\temperature\3d_scatter_plot_test_manual_by_neighbourhood.png" TargetMode="External"/><Relationship Id="rId24" Type="http://schemas.openxmlformats.org/officeDocument/2006/relationships/hyperlink" Target="file:///C:\Users\maria\OneDrive\Desktop\bolsa1\KNN\KNN_test_train_val3_koptimal\stuck_results\pressure\3d_scatter_plot_validation_manual_by_neighbourhood.png" TargetMode="External"/><Relationship Id="rId5" Type="http://schemas.openxmlformats.org/officeDocument/2006/relationships/hyperlink" Target="file:///C:\Users\maria\OneDrive\Desktop\bolsa1\KNN\KNN_test_train_val3_koptimal\bias_results\temperature\3d_scatter_plot_test_manual_by_neighbourhood.png" TargetMode="External"/><Relationship Id="rId15" Type="http://schemas.openxmlformats.org/officeDocument/2006/relationships/hyperlink" Target="file:///C:\Users\maria\OneDrive\Desktop\bolsa1\KNN\KNN_test_train_val3_koptimal\noise_results\temperature\3d_scatter_plot_test_manual_by_neighbourhood.png" TargetMode="External"/><Relationship Id="rId23" Type="http://schemas.openxmlformats.org/officeDocument/2006/relationships/hyperlink" Target="file:///C:\Users\maria\OneDrive\Desktop\bolsa1\KNN\KNN_test_train_val3_koptimal\stuck_results\o2\3d_scatter_plot_test_manual_by_neighbourhood.png" TargetMode="External"/><Relationship Id="rId10" Type="http://schemas.openxmlformats.org/officeDocument/2006/relationships/hyperlink" Target="file:///C:\Users\maria\OneDrive\Desktop\bolsa1\KNN\KNN_test_train_val3_koptimal\drift_results\temperature\3d_scatter_plot_validation_manual_by_neighbourhood.png" TargetMode="External"/><Relationship Id="rId19" Type="http://schemas.openxmlformats.org/officeDocument/2006/relationships/hyperlink" Target="file:///C:\Users\maria\OneDrive\Desktop\bolsa1\KNN\KNN_test_train_val3_koptimal\noise_results\pressure\3d_scatter_plot_test_manual_by_neighbourhood.png" TargetMode="External"/><Relationship Id="rId4" Type="http://schemas.openxmlformats.org/officeDocument/2006/relationships/hyperlink" Target="file:///C:\Users\maria\OneDrive\Desktop\bolsa1\KNN\KNN_test_train_val3_koptimal\bias_results\temperature\3d_scatter_plot_validation_manual_by_neighbourhood.png" TargetMode="External"/><Relationship Id="rId9" Type="http://schemas.openxmlformats.org/officeDocument/2006/relationships/hyperlink" Target="file:///C:\Users\maria\OneDrive\Desktop\bolsa1\KNN\KNN_test_train_val3_koptimal\drift_results\o2\3d_scatter_plot_test_manual_by_neighbourhood.png" TargetMode="External"/><Relationship Id="rId14" Type="http://schemas.openxmlformats.org/officeDocument/2006/relationships/hyperlink" Target="file:///C:\Users\maria\OneDrive\Desktop\bolsa1\KNN\KNN_test_train_val3_koptimal\noise_results\temperature\3d_scatter_plot_validation_manual_by_neighbourhood.png" TargetMode="External"/><Relationship Id="rId22" Type="http://schemas.openxmlformats.org/officeDocument/2006/relationships/hyperlink" Target="file:///C:\Users\maria\OneDrive\Desktop\bolsa1\KNN\KNN_test_train_val3_koptimal\stuck_results\o2\3d_scatter_plot_validation_manual_by_neighbourhood.pn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file:///C:\Users\maria\OneDrive\Desktop\bolsa1\KNN\KNN4_test\datasets\stuck_O2_appropriate_dataset_all_runs_with_split.json" TargetMode="External"/><Relationship Id="rId3" Type="http://schemas.openxmlformats.org/officeDocument/2006/relationships/hyperlink" Target="file:///C:\Users\maria\OneDrive\Desktop\bolsa1\KNN\KNN4_test\datasets\bias_PRESSURE_appropriate_dataset_all_runs_with_split.json" TargetMode="External"/><Relationship Id="rId7" Type="http://schemas.openxmlformats.org/officeDocument/2006/relationships/hyperlink" Target="file:///C:\Users\maria\OneDrive\Desktop\bolsa1\KNN\KNN4_test\datasets\stuck_TEMP_appropriate_dataset_all_runs_with_split.json" TargetMode="External"/><Relationship Id="rId12" Type="http://schemas.openxmlformats.org/officeDocument/2006/relationships/hyperlink" Target="file:///C:\Users\maria\OneDrive\Desktop\bolsa1\KNN\KNN4_test\datasets\stuck_PRESSURE_appropriate_dataset_all_runs_with_split.json" TargetMode="External"/><Relationship Id="rId2" Type="http://schemas.openxmlformats.org/officeDocument/2006/relationships/hyperlink" Target="file:///C:\Users\maria\OneDrive\Desktop\bolsa1\KNN\KNN4_test\datasets\bias_O2_appropriate_dataset_all_runs_with_split.json" TargetMode="External"/><Relationship Id="rId1" Type="http://schemas.openxmlformats.org/officeDocument/2006/relationships/hyperlink" Target="file:///C:\Users\maria\OneDrive\Desktop\bolsa1\datasetall\bias\TEMP\illustrative_bias_TEMP.png" TargetMode="External"/><Relationship Id="rId6" Type="http://schemas.openxmlformats.org/officeDocument/2006/relationships/hyperlink" Target="file:///C:\Users\maria\OneDrive\Desktop\bolsa1\KNN\KNN4_test\datasets\drift_PRESSURE_appropriate_dataset_all_runs_with_split.json" TargetMode="External"/><Relationship Id="rId11" Type="http://schemas.openxmlformats.org/officeDocument/2006/relationships/hyperlink" Target="file:///C:\Users\maria\OneDrive\Desktop\bolsa1\KNN\KNN4_test\datasets\stuck_O2_appropriate_dataset_all_runs_with_split.json" TargetMode="External"/><Relationship Id="rId5" Type="http://schemas.openxmlformats.org/officeDocument/2006/relationships/hyperlink" Target="file:///C:\Users\maria\OneDrive\Desktop\bolsa1\KNN\KNN4_test\datasets\drift_O2_appropriate_dataset_all_runs_with_split.json" TargetMode="External"/><Relationship Id="rId10" Type="http://schemas.openxmlformats.org/officeDocument/2006/relationships/hyperlink" Target="file:///C:\Users\maria\OneDrive\Desktop\bolsa1\KNN\KNN4_test\datasets\noise_TEMP_appropriate_dataset_all_runs_with_split.json" TargetMode="External"/><Relationship Id="rId4" Type="http://schemas.openxmlformats.org/officeDocument/2006/relationships/hyperlink" Target="file:///C:\Users\maria\OneDrive\Desktop\bolsa1\KNN\KNN4_test\datasets\drift_TEMP_appropriate_dataset_all_runs_with_split.json" TargetMode="External"/><Relationship Id="rId9" Type="http://schemas.openxmlformats.org/officeDocument/2006/relationships/hyperlink" Target="file:///C:\Users\maria\OneDrive\Desktop\bolsa1\KNN\KNN4_test\datasets\stuck_PRESSURE_appropriate_dataset_all_runs_with_split.js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F6C1C-2AA7-4E6D-A2C8-26C89D2DA95A}">
  <dimension ref="A1:G45"/>
  <sheetViews>
    <sheetView topLeftCell="A28" workbookViewId="0">
      <selection activeCell="A43" sqref="A43:A45"/>
    </sheetView>
  </sheetViews>
  <sheetFormatPr defaultRowHeight="15" x14ac:dyDescent="0.25"/>
  <cols>
    <col min="1" max="1" width="18.42578125" customWidth="1"/>
    <col min="4" max="4" width="15.85546875" bestFit="1" customWidth="1"/>
  </cols>
  <sheetData>
    <row r="1" spans="1:7" x14ac:dyDescent="0.25">
      <c r="A1" t="s">
        <v>0</v>
      </c>
      <c r="B1">
        <v>3</v>
      </c>
      <c r="D1" t="s">
        <v>1</v>
      </c>
      <c r="E1">
        <v>6</v>
      </c>
    </row>
    <row r="4" spans="1:7" x14ac:dyDescent="0.25">
      <c r="A4" t="s">
        <v>12</v>
      </c>
      <c r="B4">
        <v>300</v>
      </c>
      <c r="C4" t="s">
        <v>13</v>
      </c>
      <c r="D4">
        <v>2000</v>
      </c>
    </row>
    <row r="6" spans="1:7" x14ac:dyDescent="0.25">
      <c r="B6" t="s">
        <v>6</v>
      </c>
      <c r="C6" t="s">
        <v>7</v>
      </c>
      <c r="D6" t="s">
        <v>8</v>
      </c>
      <c r="E6" t="s">
        <v>14</v>
      </c>
      <c r="F6" t="s">
        <v>9</v>
      </c>
      <c r="G6" t="s">
        <v>10</v>
      </c>
    </row>
    <row r="7" spans="1:7" x14ac:dyDescent="0.25">
      <c r="A7" t="s">
        <v>2</v>
      </c>
      <c r="B7" s="2" t="s">
        <v>11</v>
      </c>
      <c r="C7" s="2" t="s">
        <v>11</v>
      </c>
      <c r="D7" s="2" t="s">
        <v>11</v>
      </c>
      <c r="E7" s="2" t="s">
        <v>11</v>
      </c>
      <c r="F7" s="2" t="s">
        <v>11</v>
      </c>
      <c r="G7" s="2" t="s">
        <v>11</v>
      </c>
    </row>
    <row r="8" spans="1:7" x14ac:dyDescent="0.25">
      <c r="A8" t="s">
        <v>3</v>
      </c>
      <c r="B8" s="2" t="s">
        <v>11</v>
      </c>
      <c r="C8" s="2" t="s">
        <v>11</v>
      </c>
      <c r="D8" s="3" t="s">
        <v>11</v>
      </c>
      <c r="E8" s="2" t="s">
        <v>11</v>
      </c>
      <c r="F8" s="2" t="s">
        <v>11</v>
      </c>
      <c r="G8" s="2" t="s">
        <v>11</v>
      </c>
    </row>
    <row r="9" spans="1:7" x14ac:dyDescent="0.25">
      <c r="A9" t="s">
        <v>4</v>
      </c>
      <c r="B9" s="2" t="s">
        <v>11</v>
      </c>
      <c r="C9" s="2" t="s">
        <v>11</v>
      </c>
      <c r="D9" s="2" t="s">
        <v>11</v>
      </c>
      <c r="E9" s="2" t="s">
        <v>11</v>
      </c>
      <c r="F9" s="2" t="s">
        <v>11</v>
      </c>
      <c r="G9" s="2" t="s">
        <v>11</v>
      </c>
    </row>
    <row r="10" spans="1:7" x14ac:dyDescent="0.25">
      <c r="A10" t="s">
        <v>5</v>
      </c>
      <c r="C10" s="1"/>
      <c r="D10" s="1"/>
      <c r="E10" s="1"/>
      <c r="F10" s="1"/>
      <c r="G10" s="1"/>
    </row>
    <row r="15" spans="1:7" x14ac:dyDescent="0.25">
      <c r="A15" t="s">
        <v>12</v>
      </c>
      <c r="B15">
        <v>30</v>
      </c>
      <c r="C15" t="s">
        <v>13</v>
      </c>
      <c r="D15">
        <v>4000</v>
      </c>
    </row>
    <row r="16" spans="1:7" x14ac:dyDescent="0.25">
      <c r="E16" t="s">
        <v>15</v>
      </c>
      <c r="G16" t="s">
        <v>15</v>
      </c>
    </row>
    <row r="17" spans="1:7" x14ac:dyDescent="0.25">
      <c r="B17" t="s">
        <v>6</v>
      </c>
      <c r="C17" t="s">
        <v>7</v>
      </c>
      <c r="D17" t="s">
        <v>8</v>
      </c>
      <c r="E17" t="s">
        <v>14</v>
      </c>
      <c r="F17" t="s">
        <v>9</v>
      </c>
      <c r="G17" t="s">
        <v>10</v>
      </c>
    </row>
    <row r="18" spans="1:7" x14ac:dyDescent="0.25">
      <c r="A18" t="s">
        <v>2</v>
      </c>
      <c r="B18" s="2" t="s">
        <v>11</v>
      </c>
      <c r="C18" s="2" t="s">
        <v>11</v>
      </c>
      <c r="D18" s="2" t="s">
        <v>11</v>
      </c>
      <c r="E18" s="2" t="s">
        <v>11</v>
      </c>
      <c r="F18" s="2" t="s">
        <v>11</v>
      </c>
      <c r="G18" s="2" t="s">
        <v>11</v>
      </c>
    </row>
    <row r="19" spans="1:7" x14ac:dyDescent="0.25">
      <c r="A19" t="s">
        <v>3</v>
      </c>
      <c r="B19" s="2" t="s">
        <v>11</v>
      </c>
      <c r="C19" s="2" t="s">
        <v>11</v>
      </c>
      <c r="D19" s="3" t="s">
        <v>11</v>
      </c>
      <c r="E19" s="2" t="s">
        <v>11</v>
      </c>
      <c r="F19" s="2" t="s">
        <v>11</v>
      </c>
      <c r="G19" s="2" t="s">
        <v>11</v>
      </c>
    </row>
    <row r="20" spans="1:7" x14ac:dyDescent="0.25">
      <c r="A20" t="s">
        <v>4</v>
      </c>
      <c r="B20" s="2" t="s">
        <v>11</v>
      </c>
      <c r="C20" s="2" t="s">
        <v>11</v>
      </c>
      <c r="D20" s="2" t="s">
        <v>11</v>
      </c>
      <c r="E20" s="2" t="s">
        <v>11</v>
      </c>
      <c r="F20" s="2" t="s">
        <v>11</v>
      </c>
      <c r="G20" s="2" t="s">
        <v>11</v>
      </c>
    </row>
    <row r="24" spans="1:7" x14ac:dyDescent="0.25">
      <c r="A24" t="s">
        <v>12</v>
      </c>
      <c r="B24">
        <v>50</v>
      </c>
      <c r="C24" t="s">
        <v>13</v>
      </c>
      <c r="D24">
        <v>2000</v>
      </c>
      <c r="F24" t="s">
        <v>16</v>
      </c>
      <c r="G24" t="s">
        <v>17</v>
      </c>
    </row>
    <row r="25" spans="1:7" x14ac:dyDescent="0.25">
      <c r="B25" t="s">
        <v>6</v>
      </c>
      <c r="C25" t="s">
        <v>7</v>
      </c>
      <c r="D25" t="s">
        <v>8</v>
      </c>
      <c r="E25" t="s">
        <v>9</v>
      </c>
      <c r="F25" t="s">
        <v>16</v>
      </c>
      <c r="G25" t="s">
        <v>20</v>
      </c>
    </row>
    <row r="26" spans="1:7" x14ac:dyDescent="0.25">
      <c r="A26" t="s">
        <v>2</v>
      </c>
      <c r="B26" s="2" t="s">
        <v>11</v>
      </c>
      <c r="C26" s="5" t="s">
        <v>11</v>
      </c>
      <c r="D26" s="2" t="s">
        <v>11</v>
      </c>
      <c r="E26" s="5" t="s">
        <v>11</v>
      </c>
    </row>
    <row r="27" spans="1:7" x14ac:dyDescent="0.25">
      <c r="A27" t="s">
        <v>3</v>
      </c>
      <c r="B27" s="2" t="s">
        <v>11</v>
      </c>
      <c r="C27" s="2" t="s">
        <v>11</v>
      </c>
      <c r="D27" s="2" t="s">
        <v>11</v>
      </c>
      <c r="E27" s="2" t="s">
        <v>11</v>
      </c>
    </row>
    <row r="28" spans="1:7" x14ac:dyDescent="0.25">
      <c r="A28" t="s">
        <v>4</v>
      </c>
      <c r="B28" s="2" t="s">
        <v>11</v>
      </c>
      <c r="C28" s="2" t="s">
        <v>11</v>
      </c>
      <c r="D28" s="2" t="s">
        <v>11</v>
      </c>
      <c r="E28" s="5" t="s">
        <v>11</v>
      </c>
    </row>
    <row r="31" spans="1:7" x14ac:dyDescent="0.25">
      <c r="A31" t="s">
        <v>18</v>
      </c>
    </row>
    <row r="32" spans="1:7" x14ac:dyDescent="0.25">
      <c r="A32" s="4" t="s">
        <v>19</v>
      </c>
    </row>
    <row r="34" spans="1:7" x14ac:dyDescent="0.25">
      <c r="A34" t="s">
        <v>12</v>
      </c>
      <c r="B34">
        <v>100</v>
      </c>
      <c r="C34" t="s">
        <v>13</v>
      </c>
      <c r="D34">
        <v>2000</v>
      </c>
    </row>
    <row r="35" spans="1:7" x14ac:dyDescent="0.25">
      <c r="B35" t="s">
        <v>6</v>
      </c>
      <c r="C35" t="s">
        <v>7</v>
      </c>
      <c r="D35" t="s">
        <v>8</v>
      </c>
      <c r="E35" t="s">
        <v>9</v>
      </c>
    </row>
    <row r="36" spans="1:7" x14ac:dyDescent="0.25">
      <c r="A36" t="s">
        <v>2</v>
      </c>
      <c r="B36" s="3" t="s">
        <v>11</v>
      </c>
      <c r="C36" s="5" t="s">
        <v>11</v>
      </c>
      <c r="D36" s="6" t="s">
        <v>11</v>
      </c>
      <c r="E36" s="7" t="s">
        <v>11</v>
      </c>
    </row>
    <row r="37" spans="1:7" x14ac:dyDescent="0.25">
      <c r="A37" t="s">
        <v>3</v>
      </c>
      <c r="B37" s="3" t="s">
        <v>11</v>
      </c>
      <c r="C37" s="3" t="s">
        <v>11</v>
      </c>
      <c r="D37" s="7" t="s">
        <v>11</v>
      </c>
      <c r="E37" s="7" t="s">
        <v>11</v>
      </c>
    </row>
    <row r="38" spans="1:7" x14ac:dyDescent="0.25">
      <c r="A38" t="s">
        <v>4</v>
      </c>
      <c r="B38" s="3" t="s">
        <v>11</v>
      </c>
      <c r="C38" s="3" t="s">
        <v>11</v>
      </c>
      <c r="D38" s="7" t="s">
        <v>11</v>
      </c>
      <c r="E38" s="7" t="s">
        <v>11</v>
      </c>
    </row>
    <row r="41" spans="1:7" x14ac:dyDescent="0.25">
      <c r="A41" t="s">
        <v>12</v>
      </c>
      <c r="B41">
        <v>30</v>
      </c>
      <c r="C41" t="s">
        <v>13</v>
      </c>
      <c r="D41">
        <v>2000</v>
      </c>
    </row>
    <row r="42" spans="1:7" x14ac:dyDescent="0.25">
      <c r="B42" t="s">
        <v>6</v>
      </c>
      <c r="C42" t="s">
        <v>7</v>
      </c>
      <c r="D42" t="s">
        <v>8</v>
      </c>
      <c r="E42" t="s">
        <v>9</v>
      </c>
    </row>
    <row r="43" spans="1:7" x14ac:dyDescent="0.25">
      <c r="A43" t="s">
        <v>2</v>
      </c>
      <c r="B43" s="3" t="s">
        <v>11</v>
      </c>
      <c r="C43" s="7" t="s">
        <v>11</v>
      </c>
      <c r="D43" s="8" t="s">
        <v>11</v>
      </c>
      <c r="E43" s="9" t="s">
        <v>11</v>
      </c>
      <c r="G43" t="s">
        <v>21</v>
      </c>
    </row>
    <row r="44" spans="1:7" x14ac:dyDescent="0.25">
      <c r="A44" t="s">
        <v>3</v>
      </c>
      <c r="B44" s="3" t="s">
        <v>11</v>
      </c>
      <c r="C44" s="3" t="s">
        <v>11</v>
      </c>
      <c r="D44" s="9" t="s">
        <v>11</v>
      </c>
      <c r="E44" s="7" t="s">
        <v>11</v>
      </c>
    </row>
    <row r="45" spans="1:7" x14ac:dyDescent="0.25">
      <c r="A45" t="s">
        <v>4</v>
      </c>
      <c r="B45" s="3" t="s">
        <v>11</v>
      </c>
      <c r="C45" s="3" t="s">
        <v>11</v>
      </c>
      <c r="D45" s="9" t="s">
        <v>11</v>
      </c>
      <c r="E45" s="3" t="s">
        <v>11</v>
      </c>
    </row>
  </sheetData>
  <hyperlinks>
    <hyperlink ref="B9" r:id="rId1" display="C:\Users\maria\OneDrive\Desktop\bolsa1\testedataset\fault_detection_PRESSURE_bias.png" xr:uid="{58E0E7B7-3370-49ED-A41F-BBEBCE30A83F}"/>
    <hyperlink ref="B7" r:id="rId2" xr:uid="{70D03643-3FE8-4245-BC54-2E83D6800F73}"/>
    <hyperlink ref="B8" r:id="rId3" xr:uid="{AD186690-9369-4746-857B-A02A90EDCC3B}"/>
    <hyperlink ref="C8" r:id="rId4" xr:uid="{C2357ECE-A570-4AEE-B7A9-87AB641AE3F5}"/>
    <hyperlink ref="C7" r:id="rId5" xr:uid="{18662AB3-08C2-4427-B1C4-36E412AF3525}"/>
    <hyperlink ref="C9" r:id="rId6" xr:uid="{41156D59-D531-4262-B77D-F23B880B68CF}"/>
    <hyperlink ref="D9" r:id="rId7" xr:uid="{433E23EE-346A-48AD-9B14-3723AE29C148}"/>
    <hyperlink ref="D7" r:id="rId8" xr:uid="{4B577EA7-B128-4630-A047-52BBCF26BFD9}"/>
    <hyperlink ref="D8" r:id="rId9" xr:uid="{4AF82F8B-E7C4-4BF2-9A7E-3E308369B06F}"/>
    <hyperlink ref="E9" r:id="rId10" xr:uid="{4C07D32A-314B-4219-BCC7-F66AAC50C217}"/>
    <hyperlink ref="E8" r:id="rId11" xr:uid="{4F64A4D4-D4B7-4EF3-8AA7-6CFEAC07C11C}"/>
    <hyperlink ref="E7" r:id="rId12" xr:uid="{5488B531-0A95-4C73-87CD-067AF3E5F12B}"/>
    <hyperlink ref="F8" r:id="rId13" xr:uid="{8C5FCA06-BFE5-4CC2-BD29-201CDDFA10B5}"/>
    <hyperlink ref="F7" r:id="rId14" xr:uid="{7967A480-01A1-4C59-9455-98B876615516}"/>
    <hyperlink ref="F9" r:id="rId15" xr:uid="{918A69A7-5793-4A6B-85B6-53BFDF89B1DE}"/>
    <hyperlink ref="G7" r:id="rId16" xr:uid="{A9CE400A-5C9C-43A2-A4CC-068B3E6D9657}"/>
    <hyperlink ref="G8" r:id="rId17" xr:uid="{651E61CD-7925-44A2-9A5B-110126B663F6}"/>
    <hyperlink ref="G9" r:id="rId18" xr:uid="{E1105652-4116-4CB1-BDA7-50890BB8C56C}"/>
    <hyperlink ref="B18" r:id="rId19" xr:uid="{B93A6F42-2FC3-4716-B77E-3BD9728AF56E}"/>
    <hyperlink ref="B19" r:id="rId20" xr:uid="{C9AB758E-9C9D-4F50-9BC4-C512A11D47C6}"/>
    <hyperlink ref="B20" r:id="rId21" xr:uid="{2CA9D380-1363-431E-B784-454FE0AED1A9}"/>
    <hyperlink ref="C19" r:id="rId22" xr:uid="{EB1E2766-A130-44B3-9828-CE6D248E6700}"/>
    <hyperlink ref="C18" r:id="rId23" xr:uid="{BF3E6CBB-AEF1-419A-9FC5-535233B899A2}"/>
    <hyperlink ref="C20" r:id="rId24" xr:uid="{85AF3219-77CD-4249-8B54-2FF5EE6BD73B}"/>
    <hyperlink ref="D19" r:id="rId25" xr:uid="{48CD4028-0324-4491-8EF3-0D73BD455650}"/>
    <hyperlink ref="D18" r:id="rId26" xr:uid="{9487D94C-3CB7-4EE6-9D38-9322490DF96D}"/>
    <hyperlink ref="D20" r:id="rId27" xr:uid="{BCF56B69-701F-4FE7-A345-2C07643CDCC3}"/>
    <hyperlink ref="E18" r:id="rId28" xr:uid="{2238410D-94E5-4730-873E-D898A1DADE61}"/>
    <hyperlink ref="E19" r:id="rId29" xr:uid="{93B5BE06-9543-4F74-8155-306B8FD25625}"/>
    <hyperlink ref="E20" r:id="rId30" xr:uid="{F0641E6C-D5E7-4497-935B-422EECA7D112}"/>
    <hyperlink ref="F18" r:id="rId31" xr:uid="{9A98D846-1CB7-483F-BD19-5C6E3F0ACFA0}"/>
    <hyperlink ref="F19" r:id="rId32" xr:uid="{319B74D4-4774-4D47-87D4-78F8105033C0}"/>
    <hyperlink ref="F20" r:id="rId33" xr:uid="{40E5FF45-7A45-4F72-A442-949F2500B85B}"/>
    <hyperlink ref="G19" r:id="rId34" xr:uid="{B7927773-801E-4782-A79C-7E4F6A529C9E}"/>
    <hyperlink ref="G18" r:id="rId35" xr:uid="{39240421-AC92-47BA-975D-5CDF9CE52FB8}"/>
    <hyperlink ref="G20" r:id="rId36" xr:uid="{6552296F-6F8C-416F-9B62-CED79342E001}"/>
    <hyperlink ref="B26" r:id="rId37" xr:uid="{B3AD5F24-512F-43F9-B866-D1FD507313DC}"/>
    <hyperlink ref="B27" r:id="rId38" xr:uid="{53BB8E63-2CE6-4014-8408-73DD7129DBB9}"/>
    <hyperlink ref="B28" r:id="rId39" xr:uid="{7F47682E-B09C-4719-B29D-6FDEE37FA6B7}"/>
    <hyperlink ref="C27" r:id="rId40" xr:uid="{1FEC40B7-B942-4997-A712-D434FDA77FD4}"/>
    <hyperlink ref="C26" r:id="rId41" xr:uid="{262BFF3B-799B-46B7-8B3F-425D2B42A131}"/>
    <hyperlink ref="C28" r:id="rId42" xr:uid="{2BD38F6C-566B-4945-80D6-D45F46C7FDE6}"/>
    <hyperlink ref="D27" r:id="rId43" xr:uid="{05060D8F-E378-4BDB-9372-A2440AEA8E60}"/>
    <hyperlink ref="D26" r:id="rId44" xr:uid="{D2D56765-D2B7-4593-8B1C-DB4550418150}"/>
    <hyperlink ref="D28" r:id="rId45" xr:uid="{534B4389-625E-4255-9CE9-040BC927D02F}"/>
    <hyperlink ref="E28" r:id="rId46" xr:uid="{AC80A957-FE36-4DC0-BB84-E06EA809E22B}"/>
    <hyperlink ref="E26" r:id="rId47" xr:uid="{6345597A-56B5-4C5B-B31B-62C9269A96B6}"/>
    <hyperlink ref="E27" r:id="rId48" xr:uid="{94E0FE3C-4C26-4B98-94E5-7B0F290907DB}"/>
    <hyperlink ref="B36" r:id="rId49" xr:uid="{630F9B79-2BA9-4975-A403-14A660FA06A1}"/>
    <hyperlink ref="B37" r:id="rId50" xr:uid="{BDF78D8F-4429-4912-93DB-7624A9757862}"/>
    <hyperlink ref="B38" r:id="rId51" xr:uid="{674165DF-DD6F-4EA8-B022-3489FC1BF5C4}"/>
    <hyperlink ref="C36" r:id="rId52" xr:uid="{561CF06E-B085-4DF2-96C9-E4484060B282}"/>
    <hyperlink ref="C37" r:id="rId53" xr:uid="{96242EAC-E864-41A1-8AFF-08B92100EB67}"/>
    <hyperlink ref="C38" r:id="rId54" xr:uid="{150674DB-7381-41D3-9CE7-3FB3DD7B9C45}"/>
    <hyperlink ref="D36" r:id="rId55" xr:uid="{5B7682E7-400C-42DC-8BCD-EDEDF44930A9}"/>
    <hyperlink ref="D37" r:id="rId56" xr:uid="{A016A13A-6FC2-49E1-A3E0-BEA50B8B38D5}"/>
    <hyperlink ref="D38" r:id="rId57" xr:uid="{4B1A093B-11C5-47FC-B36D-E718FE90AAD7}"/>
    <hyperlink ref="E36" r:id="rId58" xr:uid="{90F47494-87E5-4FCE-8946-91033F7366A5}"/>
    <hyperlink ref="E37" r:id="rId59" xr:uid="{95B0DC5B-4074-4F91-92F3-80BA7F2ED4C0}"/>
    <hyperlink ref="E38" r:id="rId60" xr:uid="{12E50D1A-8438-4933-A7C9-5852073C047A}"/>
    <hyperlink ref="B43" r:id="rId61" xr:uid="{DE487A64-422B-4FB5-94E4-3EB56A8B33AC}"/>
    <hyperlink ref="B44" r:id="rId62" xr:uid="{B726E7F9-C426-4FB7-94F6-C6D3AC3C4611}"/>
    <hyperlink ref="B45" r:id="rId63" xr:uid="{9DC85542-9F85-4328-80C6-EC32028E6012}"/>
    <hyperlink ref="C43" r:id="rId64" xr:uid="{41B6D868-DC2A-4D3A-9D9C-6BB19F660D9D}"/>
    <hyperlink ref="C44" r:id="rId65" xr:uid="{CA6E2933-FFAA-40AB-9ED2-9695790BAA6E}"/>
    <hyperlink ref="C45" r:id="rId66" xr:uid="{16E089B9-A39D-4D0F-BB75-9B60824F7F2C}"/>
    <hyperlink ref="E43" r:id="rId67" xr:uid="{4E009FA8-A1A5-42F3-8555-0493F80632EC}"/>
    <hyperlink ref="E44" r:id="rId68" xr:uid="{B5F7D867-E483-4F7C-9F69-FA661937CB33}"/>
    <hyperlink ref="E45" r:id="rId69" xr:uid="{A45AABAF-BF4F-4897-8EAC-5DEEA1D7F151}"/>
    <hyperlink ref="D43" r:id="rId70" xr:uid="{E5D77ABF-FD75-4D71-8BD3-131938C077CB}"/>
    <hyperlink ref="D44" r:id="rId71" xr:uid="{D8E69F2B-C00C-46F1-BAAB-6F0541B7ADBA}"/>
    <hyperlink ref="D45" r:id="rId72" xr:uid="{BC6F6643-B237-4728-A7F4-BF54F66412CD}"/>
  </hyperlinks>
  <pageMargins left="0.7" right="0.7" top="0.75" bottom="0.75" header="0.3" footer="0.3"/>
  <drawing r:id="rId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4CFB9-6EE6-4BB7-B263-C5EB2E02F63F}">
  <dimension ref="A2:S44"/>
  <sheetViews>
    <sheetView workbookViewId="0">
      <selection activeCell="H14" sqref="H14"/>
    </sheetView>
  </sheetViews>
  <sheetFormatPr defaultRowHeight="15" x14ac:dyDescent="0.25"/>
  <cols>
    <col min="2" max="2" width="10.5703125" customWidth="1"/>
    <col min="5" max="5" width="9.85546875" bestFit="1" customWidth="1"/>
  </cols>
  <sheetData>
    <row r="2" spans="1:6" x14ac:dyDescent="0.25">
      <c r="A2" t="s">
        <v>22</v>
      </c>
      <c r="B2" t="s">
        <v>23</v>
      </c>
    </row>
    <row r="4" spans="1:6" x14ac:dyDescent="0.25">
      <c r="A4" t="s">
        <v>31</v>
      </c>
      <c r="C4" t="s">
        <v>24</v>
      </c>
      <c r="F4">
        <v>2</v>
      </c>
    </row>
    <row r="5" spans="1:6" x14ac:dyDescent="0.25">
      <c r="C5" t="s">
        <v>25</v>
      </c>
      <c r="D5" t="s">
        <v>26</v>
      </c>
      <c r="E5" t="s">
        <v>29</v>
      </c>
      <c r="F5">
        <f>(37499+5060)/SUM(37499+7253+5060+10188)</f>
        <v>0.70931666666666671</v>
      </c>
    </row>
    <row r="6" spans="1:6" x14ac:dyDescent="0.25">
      <c r="A6" s="41" t="s">
        <v>27</v>
      </c>
      <c r="B6" s="41"/>
      <c r="C6" s="12">
        <v>2</v>
      </c>
      <c r="E6" t="s">
        <v>33</v>
      </c>
      <c r="F6">
        <f>37499/(37499+5060)</f>
        <v>0.88110622899974156</v>
      </c>
    </row>
    <row r="7" spans="1:6" x14ac:dyDescent="0.25">
      <c r="A7" s="41" t="s">
        <v>28</v>
      </c>
      <c r="B7" s="41"/>
      <c r="E7" t="s">
        <v>34</v>
      </c>
      <c r="F7">
        <f>A13/(A13+B13)</f>
        <v>0.78635686874829613</v>
      </c>
    </row>
    <row r="8" spans="1:6" x14ac:dyDescent="0.25">
      <c r="A8" s="41" t="s">
        <v>29</v>
      </c>
      <c r="B8" s="41"/>
      <c r="C8" s="10">
        <v>0.71</v>
      </c>
      <c r="E8" t="s">
        <v>35</v>
      </c>
      <c r="F8">
        <f>(2*F6*F7)/(F6+F7)</f>
        <v>0.83103960286328471</v>
      </c>
    </row>
    <row r="9" spans="1:6" x14ac:dyDescent="0.25">
      <c r="A9" s="40" t="s">
        <v>30</v>
      </c>
      <c r="B9" s="40"/>
      <c r="C9" s="2">
        <v>1</v>
      </c>
      <c r="E9" t="s">
        <v>36</v>
      </c>
      <c r="F9">
        <f>B14/(B14+A14)</f>
        <v>0.41094777877040528</v>
      </c>
    </row>
    <row r="10" spans="1:6" x14ac:dyDescent="0.25">
      <c r="A10" s="11" t="s">
        <v>32</v>
      </c>
      <c r="E10" t="s">
        <v>37</v>
      </c>
      <c r="F10">
        <f>(A14)/(A14+B14)</f>
        <v>0.58905222122959477</v>
      </c>
    </row>
    <row r="11" spans="1:6" x14ac:dyDescent="0.25">
      <c r="E11" t="s">
        <v>38</v>
      </c>
      <c r="F11">
        <f>B13/SUM(A13:B13)</f>
        <v>0.21364313125170381</v>
      </c>
    </row>
    <row r="12" spans="1:6" x14ac:dyDescent="0.25">
      <c r="A12" t="s">
        <v>39</v>
      </c>
    </row>
    <row r="13" spans="1:6" x14ac:dyDescent="0.25">
      <c r="A13">
        <v>37499</v>
      </c>
      <c r="B13">
        <v>10188</v>
      </c>
    </row>
    <row r="14" spans="1:6" x14ac:dyDescent="0.25">
      <c r="A14">
        <v>7253</v>
      </c>
      <c r="B14">
        <v>5060</v>
      </c>
    </row>
    <row r="16" spans="1:6" s="42" customFormat="1" x14ac:dyDescent="0.25">
      <c r="A16" s="42" t="s">
        <v>6</v>
      </c>
    </row>
    <row r="17" spans="1:19" x14ac:dyDescent="0.25">
      <c r="C17" s="43" t="s">
        <v>41</v>
      </c>
      <c r="D17" s="43"/>
      <c r="J17" s="44" t="s">
        <v>42</v>
      </c>
      <c r="K17" s="44"/>
      <c r="Q17" s="45" t="s">
        <v>3</v>
      </c>
      <c r="R17" s="45"/>
    </row>
    <row r="18" spans="1:19" x14ac:dyDescent="0.25">
      <c r="A18" t="s">
        <v>40</v>
      </c>
      <c r="C18" t="s">
        <v>24</v>
      </c>
      <c r="H18" t="s">
        <v>40</v>
      </c>
      <c r="J18" t="s">
        <v>24</v>
      </c>
      <c r="O18" t="s">
        <v>40</v>
      </c>
      <c r="Q18" t="s">
        <v>24</v>
      </c>
    </row>
    <row r="19" spans="1:19" x14ac:dyDescent="0.25">
      <c r="C19" t="s">
        <v>25</v>
      </c>
      <c r="D19" t="s">
        <v>26</v>
      </c>
      <c r="E19" t="s">
        <v>29</v>
      </c>
      <c r="J19" t="s">
        <v>25</v>
      </c>
      <c r="K19" t="s">
        <v>26</v>
      </c>
      <c r="L19" t="s">
        <v>29</v>
      </c>
      <c r="Q19" t="s">
        <v>25</v>
      </c>
      <c r="R19" t="s">
        <v>26</v>
      </c>
      <c r="S19" t="s">
        <v>29</v>
      </c>
    </row>
    <row r="20" spans="1:19" x14ac:dyDescent="0.25">
      <c r="A20" s="41" t="s">
        <v>27</v>
      </c>
      <c r="B20" s="41"/>
      <c r="C20" s="3" t="s">
        <v>11</v>
      </c>
      <c r="D20" s="3" t="s">
        <v>11</v>
      </c>
      <c r="E20" t="s">
        <v>33</v>
      </c>
      <c r="H20" s="41" t="s">
        <v>27</v>
      </c>
      <c r="I20" s="41"/>
      <c r="J20" s="3" t="s">
        <v>11</v>
      </c>
      <c r="K20" s="3" t="s">
        <v>11</v>
      </c>
      <c r="L20" t="s">
        <v>33</v>
      </c>
      <c r="O20" s="41" t="s">
        <v>27</v>
      </c>
      <c r="P20" s="41"/>
      <c r="Q20" s="3" t="s">
        <v>11</v>
      </c>
      <c r="R20" s="3" t="s">
        <v>11</v>
      </c>
      <c r="S20" t="s">
        <v>33</v>
      </c>
    </row>
    <row r="21" spans="1:19" x14ac:dyDescent="0.25">
      <c r="A21" s="41" t="s">
        <v>28</v>
      </c>
      <c r="B21" s="41"/>
      <c r="C21" s="3" t="s">
        <v>11</v>
      </c>
      <c r="D21" s="3" t="s">
        <v>11</v>
      </c>
      <c r="E21" t="s">
        <v>34</v>
      </c>
      <c r="H21" s="41" t="s">
        <v>28</v>
      </c>
      <c r="I21" s="41"/>
      <c r="J21" s="3" t="s">
        <v>11</v>
      </c>
      <c r="K21" s="3" t="s">
        <v>11</v>
      </c>
      <c r="L21" t="s">
        <v>34</v>
      </c>
      <c r="O21" s="41" t="s">
        <v>28</v>
      </c>
      <c r="P21" s="41"/>
      <c r="Q21" s="3" t="s">
        <v>11</v>
      </c>
      <c r="R21" s="3" t="s">
        <v>11</v>
      </c>
      <c r="S21" t="s">
        <v>34</v>
      </c>
    </row>
    <row r="22" spans="1:19" x14ac:dyDescent="0.25">
      <c r="A22" s="41" t="s">
        <v>29</v>
      </c>
      <c r="B22" s="41"/>
      <c r="C22" s="13">
        <v>0.71</v>
      </c>
      <c r="D22" s="13">
        <v>0.71</v>
      </c>
      <c r="E22" t="s">
        <v>35</v>
      </c>
      <c r="H22" s="41" t="s">
        <v>29</v>
      </c>
      <c r="I22" s="41"/>
      <c r="J22" s="13">
        <v>0.85</v>
      </c>
      <c r="K22" s="13">
        <v>0.85</v>
      </c>
      <c r="L22" t="s">
        <v>35</v>
      </c>
      <c r="O22" s="41" t="s">
        <v>29</v>
      </c>
      <c r="P22" s="41"/>
      <c r="Q22" s="13">
        <v>0.8</v>
      </c>
      <c r="R22" s="13">
        <v>0.8</v>
      </c>
      <c r="S22" t="s">
        <v>35</v>
      </c>
    </row>
    <row r="23" spans="1:19" x14ac:dyDescent="0.25">
      <c r="A23" s="40" t="s">
        <v>30</v>
      </c>
      <c r="B23" s="40"/>
      <c r="C23" s="3" t="s">
        <v>11</v>
      </c>
      <c r="D23" s="3" t="s">
        <v>11</v>
      </c>
      <c r="E23" t="s">
        <v>36</v>
      </c>
      <c r="H23" s="40" t="s">
        <v>30</v>
      </c>
      <c r="I23" s="40"/>
      <c r="J23" s="3" t="s">
        <v>11</v>
      </c>
      <c r="K23" s="3" t="s">
        <v>11</v>
      </c>
      <c r="L23" t="s">
        <v>36</v>
      </c>
      <c r="O23" s="40" t="s">
        <v>30</v>
      </c>
      <c r="P23" s="40"/>
      <c r="Q23" s="3" t="s">
        <v>11</v>
      </c>
      <c r="R23" s="3" t="s">
        <v>11</v>
      </c>
      <c r="S23" t="s">
        <v>36</v>
      </c>
    </row>
    <row r="24" spans="1:19" x14ac:dyDescent="0.25">
      <c r="A24" s="11" t="s">
        <v>32</v>
      </c>
      <c r="E24" t="s">
        <v>37</v>
      </c>
      <c r="H24" s="11" t="s">
        <v>32</v>
      </c>
      <c r="L24" t="s">
        <v>37</v>
      </c>
      <c r="O24" s="11" t="s">
        <v>32</v>
      </c>
      <c r="S24" t="s">
        <v>37</v>
      </c>
    </row>
    <row r="25" spans="1:19" x14ac:dyDescent="0.25">
      <c r="E25" t="s">
        <v>38</v>
      </c>
      <c r="L25" t="s">
        <v>38</v>
      </c>
      <c r="S25" t="s">
        <v>38</v>
      </c>
    </row>
    <row r="26" spans="1:19" x14ac:dyDescent="0.25">
      <c r="A26" t="s">
        <v>39</v>
      </c>
      <c r="H26" t="s">
        <v>39</v>
      </c>
      <c r="O26" t="s">
        <v>39</v>
      </c>
    </row>
    <row r="27" spans="1:19" x14ac:dyDescent="0.25">
      <c r="A27">
        <v>37480</v>
      </c>
      <c r="B27">
        <v>10207</v>
      </c>
      <c r="H27">
        <v>37496</v>
      </c>
      <c r="I27">
        <v>5029</v>
      </c>
      <c r="O27">
        <v>38899</v>
      </c>
      <c r="P27">
        <v>5196</v>
      </c>
    </row>
    <row r="28" spans="1:19" x14ac:dyDescent="0.25">
      <c r="A28">
        <v>7208</v>
      </c>
      <c r="B28">
        <v>5105</v>
      </c>
      <c r="H28">
        <v>4117</v>
      </c>
      <c r="I28">
        <v>13358</v>
      </c>
      <c r="O28">
        <v>7144</v>
      </c>
      <c r="P28">
        <v>8761</v>
      </c>
    </row>
    <row r="33" spans="1:19" s="42" customFormat="1" x14ac:dyDescent="0.25">
      <c r="A33" s="42" t="s">
        <v>7</v>
      </c>
    </row>
    <row r="35" spans="1:19" x14ac:dyDescent="0.25">
      <c r="C35" s="43" t="s">
        <v>41</v>
      </c>
      <c r="D35" s="43"/>
      <c r="J35" s="44" t="s">
        <v>42</v>
      </c>
      <c r="K35" s="44"/>
      <c r="Q35" s="45" t="s">
        <v>3</v>
      </c>
      <c r="R35" s="45"/>
    </row>
    <row r="36" spans="1:19" x14ac:dyDescent="0.25">
      <c r="A36" t="s">
        <v>40</v>
      </c>
      <c r="C36" t="s">
        <v>24</v>
      </c>
      <c r="H36" t="s">
        <v>40</v>
      </c>
      <c r="J36" t="s">
        <v>24</v>
      </c>
      <c r="O36" t="s">
        <v>40</v>
      </c>
      <c r="Q36" t="s">
        <v>24</v>
      </c>
    </row>
    <row r="37" spans="1:19" x14ac:dyDescent="0.25">
      <c r="C37" t="s">
        <v>25</v>
      </c>
      <c r="D37" t="s">
        <v>26</v>
      </c>
      <c r="E37" t="s">
        <v>29</v>
      </c>
      <c r="J37" t="s">
        <v>25</v>
      </c>
      <c r="K37" t="s">
        <v>26</v>
      </c>
      <c r="L37" t="s">
        <v>29</v>
      </c>
      <c r="Q37" t="s">
        <v>25</v>
      </c>
      <c r="R37" t="s">
        <v>26</v>
      </c>
      <c r="S37" t="s">
        <v>29</v>
      </c>
    </row>
    <row r="38" spans="1:19" x14ac:dyDescent="0.25">
      <c r="A38" s="41" t="s">
        <v>27</v>
      </c>
      <c r="B38" s="41"/>
      <c r="C38" s="3"/>
      <c r="D38" s="3"/>
      <c r="E38" t="s">
        <v>33</v>
      </c>
      <c r="H38" s="41" t="s">
        <v>27</v>
      </c>
      <c r="I38" s="41"/>
      <c r="J38" s="3"/>
      <c r="K38" s="3"/>
      <c r="L38" t="s">
        <v>33</v>
      </c>
      <c r="O38" s="41" t="s">
        <v>27</v>
      </c>
      <c r="P38" s="41"/>
      <c r="Q38" s="3"/>
      <c r="R38" s="3"/>
      <c r="S38" t="s">
        <v>33</v>
      </c>
    </row>
    <row r="39" spans="1:19" x14ac:dyDescent="0.25">
      <c r="A39" s="41" t="s">
        <v>28</v>
      </c>
      <c r="B39" s="41"/>
      <c r="C39" s="3"/>
      <c r="D39" s="3"/>
      <c r="E39" t="s">
        <v>34</v>
      </c>
      <c r="H39" s="41" t="s">
        <v>28</v>
      </c>
      <c r="I39" s="41"/>
      <c r="J39" s="3"/>
      <c r="K39" s="3"/>
      <c r="L39" t="s">
        <v>34</v>
      </c>
      <c r="O39" s="41" t="s">
        <v>28</v>
      </c>
      <c r="P39" s="41"/>
      <c r="Q39" s="3"/>
      <c r="R39" s="3"/>
      <c r="S39" t="s">
        <v>34</v>
      </c>
    </row>
    <row r="40" spans="1:19" x14ac:dyDescent="0.25">
      <c r="A40" s="41" t="s">
        <v>29</v>
      </c>
      <c r="B40" s="41"/>
      <c r="C40" s="13"/>
      <c r="D40" s="13"/>
      <c r="E40" t="s">
        <v>35</v>
      </c>
      <c r="H40" s="41" t="s">
        <v>29</v>
      </c>
      <c r="I40" s="41"/>
      <c r="J40" s="13"/>
      <c r="K40" s="13"/>
      <c r="L40" t="s">
        <v>35</v>
      </c>
      <c r="O40" s="41" t="s">
        <v>29</v>
      </c>
      <c r="P40" s="41"/>
      <c r="Q40" s="13"/>
      <c r="R40" s="13"/>
      <c r="S40" t="s">
        <v>35</v>
      </c>
    </row>
    <row r="41" spans="1:19" x14ac:dyDescent="0.25">
      <c r="A41" s="40" t="s">
        <v>30</v>
      </c>
      <c r="B41" s="40"/>
      <c r="C41" s="3"/>
      <c r="D41" s="3"/>
      <c r="E41" t="s">
        <v>36</v>
      </c>
      <c r="H41" s="40" t="s">
        <v>30</v>
      </c>
      <c r="I41" s="40"/>
      <c r="J41" s="3"/>
      <c r="K41" s="3"/>
      <c r="L41" t="s">
        <v>36</v>
      </c>
      <c r="O41" s="40" t="s">
        <v>30</v>
      </c>
      <c r="P41" s="40"/>
      <c r="Q41" s="3"/>
      <c r="R41" s="3"/>
      <c r="S41" t="s">
        <v>36</v>
      </c>
    </row>
    <row r="42" spans="1:19" x14ac:dyDescent="0.25">
      <c r="A42" s="11" t="s">
        <v>32</v>
      </c>
      <c r="E42" t="s">
        <v>37</v>
      </c>
      <c r="H42" s="11" t="s">
        <v>32</v>
      </c>
      <c r="L42" t="s">
        <v>37</v>
      </c>
      <c r="O42" s="11" t="s">
        <v>32</v>
      </c>
      <c r="S42" t="s">
        <v>37</v>
      </c>
    </row>
    <row r="43" spans="1:19" x14ac:dyDescent="0.25">
      <c r="E43" t="s">
        <v>38</v>
      </c>
      <c r="L43" t="s">
        <v>38</v>
      </c>
      <c r="S43" t="s">
        <v>38</v>
      </c>
    </row>
    <row r="44" spans="1:19" x14ac:dyDescent="0.25">
      <c r="A44" t="s">
        <v>39</v>
      </c>
      <c r="H44" t="s">
        <v>39</v>
      </c>
      <c r="O44" t="s">
        <v>39</v>
      </c>
    </row>
  </sheetData>
  <mergeCells count="36">
    <mergeCell ref="O20:P20"/>
    <mergeCell ref="A21:B21"/>
    <mergeCell ref="C35:D35"/>
    <mergeCell ref="J35:K35"/>
    <mergeCell ref="A6:B6"/>
    <mergeCell ref="A7:B7"/>
    <mergeCell ref="A8:B8"/>
    <mergeCell ref="A9:B9"/>
    <mergeCell ref="A20:B20"/>
    <mergeCell ref="A16:XFD16"/>
    <mergeCell ref="J17:K17"/>
    <mergeCell ref="H20:I20"/>
    <mergeCell ref="Q17:R17"/>
    <mergeCell ref="C17:D17"/>
    <mergeCell ref="Q35:R35"/>
    <mergeCell ref="A22:B22"/>
    <mergeCell ref="A33:XFD33"/>
    <mergeCell ref="H21:I21"/>
    <mergeCell ref="H22:I22"/>
    <mergeCell ref="A38:B38"/>
    <mergeCell ref="H38:I38"/>
    <mergeCell ref="O38:P38"/>
    <mergeCell ref="A23:B23"/>
    <mergeCell ref="H23:I23"/>
    <mergeCell ref="O21:P21"/>
    <mergeCell ref="O22:P22"/>
    <mergeCell ref="O23:P23"/>
    <mergeCell ref="A41:B41"/>
    <mergeCell ref="H41:I41"/>
    <mergeCell ref="O41:P41"/>
    <mergeCell ref="A39:B39"/>
    <mergeCell ref="H39:I39"/>
    <mergeCell ref="O39:P39"/>
    <mergeCell ref="A40:B40"/>
    <mergeCell ref="H40:I40"/>
    <mergeCell ref="O40:P40"/>
  </mergeCells>
  <hyperlinks>
    <hyperlink ref="A9:B9" r:id="rId1" display="Classification Report" xr:uid="{C706C4B0-A3B7-44F6-AB61-64CFEB7A5B57}"/>
    <hyperlink ref="A10" r:id="rId2" xr:uid="{28009D90-7A41-4E3B-BDF4-B1A60B4B61E8}"/>
    <hyperlink ref="C9" r:id="rId3" display="C:\Users\maria\OneDrive\Desktop\bolsa1\KNN\classification_report_manual.png" xr:uid="{04A4A68E-34B7-49B0-9D90-A4C30EEDF2C5}"/>
    <hyperlink ref="A23:B23" r:id="rId4" display="Classification Report" xr:uid="{3EC0844C-0962-4ECD-B1C8-C24BC515F8B3}"/>
    <hyperlink ref="A24" r:id="rId5" xr:uid="{42FE69F6-057A-4675-B815-5EE5D16DD0BF}"/>
    <hyperlink ref="H23:I23" r:id="rId6" display="Classification Report" xr:uid="{23959FA2-D58E-4F75-B113-ABCC8D07F47A}"/>
    <hyperlink ref="H24" r:id="rId7" xr:uid="{DE58F924-3F33-47B1-A3FF-5B8A012572B4}"/>
    <hyperlink ref="O23:P23" r:id="rId8" display="Classification Report" xr:uid="{3744948D-6F0A-42B1-A4BE-0DF3ACCB1A87}"/>
    <hyperlink ref="O24" r:id="rId9" xr:uid="{C52D267B-587C-40E0-ABCB-6878E065616A}"/>
    <hyperlink ref="C20" r:id="rId10" xr:uid="{A5076122-2DAA-44EF-AE44-F4B6D5DA07B9}"/>
    <hyperlink ref="D20" r:id="rId11" xr:uid="{A7DBC00A-6412-4350-B886-3CB85B2294F2}"/>
    <hyperlink ref="C21" r:id="rId12" xr:uid="{2A7EA2E6-1374-44BB-A8A0-650E334CD328}"/>
    <hyperlink ref="D21" r:id="rId13" xr:uid="{56E51DEF-E4DD-4783-B37F-458FB79A3160}"/>
    <hyperlink ref="C23" r:id="rId14" xr:uid="{226C089F-2B55-46FE-8FA8-6AE095C86E58}"/>
    <hyperlink ref="D23" r:id="rId15" xr:uid="{A44CAA8B-6768-45DA-BD08-9271EA14B656}"/>
    <hyperlink ref="Q20" r:id="rId16" xr:uid="{4485F6CF-391B-4947-921B-F16034ACA2AC}"/>
    <hyperlink ref="R20" r:id="rId17" xr:uid="{037EAF14-B4CE-4FBE-9A92-635DDC6AE71D}"/>
    <hyperlink ref="Q21" r:id="rId18" xr:uid="{B5BE0E23-45AF-4FC0-A5BB-516577E16903}"/>
    <hyperlink ref="R21" r:id="rId19" xr:uid="{BB201A63-969B-4B8E-B794-BD0131D07C2D}"/>
    <hyperlink ref="Q23" r:id="rId20" xr:uid="{655B95D7-B543-47A1-94E5-A965131BFD1F}"/>
    <hyperlink ref="R23" r:id="rId21" xr:uid="{74EE7143-3088-4AD9-A2DE-DD770027191C}"/>
    <hyperlink ref="J20" r:id="rId22" xr:uid="{4322F9DC-0AB6-47DA-9EB7-8717C1707851}"/>
    <hyperlink ref="K20" r:id="rId23" xr:uid="{A3320AF3-DDE5-4BA2-A88E-29202A3F05AC}"/>
    <hyperlink ref="J21" r:id="rId24" xr:uid="{55462473-CA0F-4B8F-89D8-9BD37079AA20}"/>
    <hyperlink ref="K21" r:id="rId25" xr:uid="{4076E169-8651-49A3-A823-BD067148B2FC}"/>
    <hyperlink ref="J23" r:id="rId26" xr:uid="{78ED03C1-EABB-4C8F-BCE4-BFCBE0C73B6E}"/>
    <hyperlink ref="K23" r:id="rId27" xr:uid="{2CB3AAC5-158C-4E19-99D3-9FC952DB3B4C}"/>
    <hyperlink ref="A41:B41" r:id="rId28" display="Classification Report" xr:uid="{C4318D58-B3B3-419F-A4AB-1ADDEFBAABA0}"/>
    <hyperlink ref="A42" r:id="rId29" xr:uid="{34C037D9-35F0-4CC5-A474-5722822B6DEC}"/>
    <hyperlink ref="H41:I41" r:id="rId30" display="Classification Report" xr:uid="{B0F72C65-696C-4C66-9F6E-142B955988FD}"/>
    <hyperlink ref="H42" r:id="rId31" xr:uid="{5F46E0E2-9D8E-449E-AB8B-31218FE90F31}"/>
    <hyperlink ref="O41:P41" r:id="rId32" display="Classification Report" xr:uid="{DA5554BE-7F23-4BDF-A9A0-E8479817A492}"/>
    <hyperlink ref="O42" r:id="rId33" xr:uid="{725B4318-322E-462A-BE0C-8046914F0FE2}"/>
  </hyperlinks>
  <pageMargins left="0.7" right="0.7" top="0.75" bottom="0.75" header="0.3" footer="0.3"/>
  <drawing r:id="rId3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06CAB-BBD2-4F74-AD81-7E894D0F799B}">
  <dimension ref="A1:E8"/>
  <sheetViews>
    <sheetView zoomScale="82" workbookViewId="0">
      <selection activeCell="A5" sqref="A5:E8"/>
    </sheetView>
  </sheetViews>
  <sheetFormatPr defaultRowHeight="15" x14ac:dyDescent="0.25"/>
  <cols>
    <col min="1" max="1" width="15.28515625" customWidth="1"/>
  </cols>
  <sheetData>
    <row r="1" spans="1:5" x14ac:dyDescent="0.25">
      <c r="A1" t="s">
        <v>43</v>
      </c>
    </row>
    <row r="2" spans="1:5" ht="14.25" customHeight="1" x14ac:dyDescent="0.25"/>
    <row r="4" spans="1:5" x14ac:dyDescent="0.25">
      <c r="A4" t="s">
        <v>12</v>
      </c>
      <c r="B4">
        <v>50</v>
      </c>
      <c r="C4" t="s">
        <v>13</v>
      </c>
      <c r="D4">
        <v>2000</v>
      </c>
    </row>
    <row r="5" spans="1:5" x14ac:dyDescent="0.25">
      <c r="B5" t="s">
        <v>6</v>
      </c>
      <c r="C5" t="s">
        <v>7</v>
      </c>
      <c r="D5" t="s">
        <v>8</v>
      </c>
      <c r="E5" t="s">
        <v>9</v>
      </c>
    </row>
    <row r="6" spans="1:5" x14ac:dyDescent="0.25">
      <c r="A6" t="s">
        <v>2</v>
      </c>
      <c r="B6" s="3" t="s">
        <v>11</v>
      </c>
      <c r="C6" s="3" t="s">
        <v>11</v>
      </c>
      <c r="D6" s="3" t="s">
        <v>11</v>
      </c>
      <c r="E6" s="3" t="s">
        <v>11</v>
      </c>
    </row>
    <row r="7" spans="1:5" x14ac:dyDescent="0.25">
      <c r="A7" t="s">
        <v>3</v>
      </c>
      <c r="B7" s="3" t="s">
        <v>11</v>
      </c>
      <c r="C7" s="2" t="s">
        <v>11</v>
      </c>
      <c r="D7" s="3" t="s">
        <v>11</v>
      </c>
      <c r="E7" s="3" t="s">
        <v>11</v>
      </c>
    </row>
    <row r="8" spans="1:5" x14ac:dyDescent="0.25">
      <c r="A8" t="s">
        <v>4</v>
      </c>
      <c r="B8" s="3" t="s">
        <v>11</v>
      </c>
      <c r="C8" s="2" t="s">
        <v>11</v>
      </c>
      <c r="D8" s="3" t="s">
        <v>11</v>
      </c>
      <c r="E8" s="3" t="s">
        <v>11</v>
      </c>
    </row>
  </sheetData>
  <hyperlinks>
    <hyperlink ref="B6" r:id="rId1" xr:uid="{6E2F90D1-3540-4606-BD1B-BDB6C11FE5E9}"/>
    <hyperlink ref="B7" r:id="rId2" xr:uid="{A9D3E071-8A02-408C-AA8F-E74220EDBC62}"/>
    <hyperlink ref="B8" r:id="rId3" xr:uid="{F0B0A720-9112-4285-90CD-E4894B7C465A}"/>
    <hyperlink ref="C6" r:id="rId4" xr:uid="{A90C1BB6-F0CB-4D64-9CE6-48997DCF7C0A}"/>
    <hyperlink ref="C7" r:id="rId5" xr:uid="{B0265025-5589-47C8-BFB2-D97548AE40D4}"/>
    <hyperlink ref="C8" r:id="rId6" xr:uid="{5F7AFB42-B68F-4647-8584-6F10E1197B51}"/>
    <hyperlink ref="D6" r:id="rId7" xr:uid="{36DB8FB6-6A0F-4F14-92DD-6ED7DA6EEE23}"/>
    <hyperlink ref="D7" r:id="rId8" xr:uid="{BEB93DD7-29AA-42F3-8020-64C92C8826DF}"/>
    <hyperlink ref="D8" r:id="rId9" xr:uid="{712FB43D-63FA-49E9-A84C-A0BA009E58C9}"/>
    <hyperlink ref="E6" r:id="rId10" xr:uid="{23D282CC-E33F-4560-9318-B81E7BD0ACBF}"/>
    <hyperlink ref="E7" r:id="rId11" xr:uid="{B73BBC7B-8E91-41B0-B436-791FACDCCC5B}"/>
    <hyperlink ref="E8" r:id="rId12" xr:uid="{A8AE4A84-09EC-43EE-91A4-9C5C6B54D84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7069-17F1-4822-A416-FDB533D67B3C}">
  <dimension ref="A2:Y55"/>
  <sheetViews>
    <sheetView zoomScale="131" workbookViewId="0">
      <selection activeCell="A8" sqref="A8:G13"/>
    </sheetView>
  </sheetViews>
  <sheetFormatPr defaultRowHeight="15" x14ac:dyDescent="0.25"/>
  <cols>
    <col min="1" max="1" width="16" bestFit="1" customWidth="1"/>
    <col min="10" max="10" width="16" bestFit="1" customWidth="1"/>
    <col min="19" max="19" width="16" bestFit="1" customWidth="1"/>
  </cols>
  <sheetData>
    <row r="2" spans="1:25" s="14" customFormat="1" x14ac:dyDescent="0.25">
      <c r="A2" s="14" t="s">
        <v>6</v>
      </c>
    </row>
    <row r="3" spans="1:25" x14ac:dyDescent="0.25">
      <c r="A3" t="s">
        <v>2</v>
      </c>
      <c r="B3" t="s">
        <v>46</v>
      </c>
      <c r="C3" t="s">
        <v>47</v>
      </c>
      <c r="D3" t="s">
        <v>48</v>
      </c>
      <c r="E3" t="s">
        <v>53</v>
      </c>
      <c r="J3" t="s">
        <v>3</v>
      </c>
      <c r="K3" t="s">
        <v>46</v>
      </c>
      <c r="L3" t="s">
        <v>47</v>
      </c>
      <c r="M3" t="s">
        <v>48</v>
      </c>
      <c r="N3" t="s">
        <v>57</v>
      </c>
      <c r="S3" t="s">
        <v>4</v>
      </c>
      <c r="T3" t="s">
        <v>46</v>
      </c>
      <c r="U3" t="s">
        <v>47</v>
      </c>
      <c r="V3" t="s">
        <v>48</v>
      </c>
    </row>
    <row r="4" spans="1:25" x14ac:dyDescent="0.25">
      <c r="A4" t="s">
        <v>27</v>
      </c>
      <c r="B4" s="2" t="s">
        <v>11</v>
      </c>
      <c r="C4" s="2" t="s">
        <v>11</v>
      </c>
      <c r="D4" s="2" t="s">
        <v>11</v>
      </c>
      <c r="J4" t="s">
        <v>27</v>
      </c>
      <c r="K4" s="2" t="s">
        <v>11</v>
      </c>
      <c r="L4" s="2" t="s">
        <v>11</v>
      </c>
      <c r="M4" s="2" t="s">
        <v>11</v>
      </c>
      <c r="S4" t="s">
        <v>27</v>
      </c>
      <c r="T4" s="2" t="s">
        <v>11</v>
      </c>
      <c r="U4" s="2" t="s">
        <v>11</v>
      </c>
      <c r="V4" s="2" t="s">
        <v>11</v>
      </c>
    </row>
    <row r="5" spans="1:25" x14ac:dyDescent="0.25">
      <c r="A5" t="s">
        <v>44</v>
      </c>
      <c r="B5" s="2" t="s">
        <v>50</v>
      </c>
      <c r="C5" s="2" t="s">
        <v>51</v>
      </c>
      <c r="D5" s="2" t="s">
        <v>52</v>
      </c>
      <c r="J5" t="s">
        <v>44</v>
      </c>
      <c r="K5" s="2" t="s">
        <v>50</v>
      </c>
      <c r="L5" s="2" t="s">
        <v>55</v>
      </c>
      <c r="M5" s="2" t="s">
        <v>56</v>
      </c>
      <c r="S5" t="s">
        <v>44</v>
      </c>
      <c r="T5" s="2" t="s">
        <v>59</v>
      </c>
      <c r="U5" s="1"/>
      <c r="V5" s="1"/>
    </row>
    <row r="6" spans="1:25" x14ac:dyDescent="0.25">
      <c r="A6" t="s">
        <v>45</v>
      </c>
      <c r="B6" s="40" t="s">
        <v>11</v>
      </c>
      <c r="C6" s="40"/>
      <c r="D6" s="40"/>
      <c r="J6" t="s">
        <v>45</v>
      </c>
      <c r="K6" s="40" t="s">
        <v>11</v>
      </c>
      <c r="L6" s="40"/>
      <c r="M6" s="40"/>
      <c r="S6" t="s">
        <v>45</v>
      </c>
      <c r="T6" s="1"/>
      <c r="U6" s="1"/>
      <c r="V6" s="1"/>
    </row>
    <row r="7" spans="1:25" x14ac:dyDescent="0.25">
      <c r="A7" t="s">
        <v>49</v>
      </c>
      <c r="B7" s="1"/>
      <c r="C7" s="1"/>
      <c r="D7" s="1"/>
      <c r="J7" t="s">
        <v>49</v>
      </c>
      <c r="S7" t="s">
        <v>49</v>
      </c>
      <c r="T7" s="1"/>
      <c r="U7" s="1"/>
      <c r="V7" s="1"/>
    </row>
    <row r="8" spans="1:25" x14ac:dyDescent="0.25">
      <c r="A8" s="46" t="s">
        <v>54</v>
      </c>
      <c r="B8" s="46"/>
      <c r="C8" s="46"/>
      <c r="D8" s="46"/>
      <c r="E8" s="46"/>
      <c r="F8" s="46"/>
      <c r="G8" s="46"/>
      <c r="J8" s="46" t="s">
        <v>58</v>
      </c>
      <c r="K8" s="46"/>
      <c r="L8" s="46"/>
      <c r="M8" s="46"/>
      <c r="N8" s="46"/>
      <c r="O8" s="46"/>
      <c r="P8" s="46"/>
      <c r="S8" s="41"/>
      <c r="T8" s="41"/>
      <c r="U8" s="41"/>
      <c r="V8" s="41"/>
      <c r="W8" s="41"/>
      <c r="X8" s="41"/>
      <c r="Y8" s="41"/>
    </row>
    <row r="9" spans="1:25" x14ac:dyDescent="0.25">
      <c r="A9" s="46"/>
      <c r="B9" s="46"/>
      <c r="C9" s="46"/>
      <c r="D9" s="46"/>
      <c r="E9" s="46"/>
      <c r="F9" s="46"/>
      <c r="G9" s="46"/>
      <c r="J9" s="46"/>
      <c r="K9" s="46"/>
      <c r="L9" s="46"/>
      <c r="M9" s="46"/>
      <c r="N9" s="46"/>
      <c r="O9" s="46"/>
      <c r="P9" s="46"/>
      <c r="S9" s="41"/>
      <c r="T9" s="41"/>
      <c r="U9" s="41"/>
      <c r="V9" s="41"/>
      <c r="W9" s="41"/>
      <c r="X9" s="41"/>
      <c r="Y9" s="41"/>
    </row>
    <row r="10" spans="1:25" x14ac:dyDescent="0.25">
      <c r="A10" s="46"/>
      <c r="B10" s="46"/>
      <c r="C10" s="46"/>
      <c r="D10" s="46"/>
      <c r="E10" s="46"/>
      <c r="F10" s="46"/>
      <c r="G10" s="46"/>
      <c r="J10" s="46"/>
      <c r="K10" s="46"/>
      <c r="L10" s="46"/>
      <c r="M10" s="46"/>
      <c r="N10" s="46"/>
      <c r="O10" s="46"/>
      <c r="P10" s="46"/>
      <c r="S10" s="41"/>
      <c r="T10" s="41"/>
      <c r="U10" s="41"/>
      <c r="V10" s="41"/>
      <c r="W10" s="41"/>
      <c r="X10" s="41"/>
      <c r="Y10" s="41"/>
    </row>
    <row r="11" spans="1:25" x14ac:dyDescent="0.25">
      <c r="A11" s="46"/>
      <c r="B11" s="46"/>
      <c r="C11" s="46"/>
      <c r="D11" s="46"/>
      <c r="E11" s="46"/>
      <c r="F11" s="46"/>
      <c r="G11" s="46"/>
      <c r="J11" s="46"/>
      <c r="K11" s="46"/>
      <c r="L11" s="46"/>
      <c r="M11" s="46"/>
      <c r="N11" s="46"/>
      <c r="O11" s="46"/>
      <c r="P11" s="46"/>
      <c r="S11" s="41"/>
      <c r="T11" s="41"/>
      <c r="U11" s="41"/>
      <c r="V11" s="41"/>
      <c r="W11" s="41"/>
      <c r="X11" s="41"/>
      <c r="Y11" s="41"/>
    </row>
    <row r="12" spans="1:25" x14ac:dyDescent="0.25">
      <c r="A12" s="46"/>
      <c r="B12" s="46"/>
      <c r="C12" s="46"/>
      <c r="D12" s="46"/>
      <c r="E12" s="46"/>
      <c r="F12" s="46"/>
      <c r="G12" s="46"/>
      <c r="J12" s="46"/>
      <c r="K12" s="46"/>
      <c r="L12" s="46"/>
      <c r="M12" s="46"/>
      <c r="N12" s="46"/>
      <c r="O12" s="46"/>
      <c r="P12" s="46"/>
      <c r="S12" s="41"/>
      <c r="T12" s="41"/>
      <c r="U12" s="41"/>
      <c r="V12" s="41"/>
      <c r="W12" s="41"/>
      <c r="X12" s="41"/>
      <c r="Y12" s="41"/>
    </row>
    <row r="13" spans="1:25" ht="28.5" customHeight="1" x14ac:dyDescent="0.25">
      <c r="A13" s="46"/>
      <c r="B13" s="46"/>
      <c r="C13" s="46"/>
      <c r="D13" s="46"/>
      <c r="E13" s="46"/>
      <c r="F13" s="46"/>
      <c r="G13" s="46"/>
      <c r="J13" s="46"/>
      <c r="K13" s="46"/>
      <c r="L13" s="46"/>
      <c r="M13" s="46"/>
      <c r="N13" s="46"/>
      <c r="O13" s="46"/>
      <c r="P13" s="46"/>
      <c r="S13" s="41"/>
      <c r="T13" s="41"/>
      <c r="U13" s="41"/>
      <c r="V13" s="41"/>
      <c r="W13" s="41"/>
      <c r="X13" s="41"/>
      <c r="Y13" s="41"/>
    </row>
    <row r="16" spans="1:25" s="15" customFormat="1" x14ac:dyDescent="0.25">
      <c r="A16" s="15" t="s">
        <v>7</v>
      </c>
    </row>
    <row r="17" spans="1:25" x14ac:dyDescent="0.25">
      <c r="A17" t="s">
        <v>2</v>
      </c>
      <c r="B17" t="s">
        <v>46</v>
      </c>
      <c r="C17" t="s">
        <v>47</v>
      </c>
      <c r="D17" t="s">
        <v>48</v>
      </c>
      <c r="J17" t="s">
        <v>3</v>
      </c>
      <c r="K17" t="s">
        <v>46</v>
      </c>
      <c r="L17" t="s">
        <v>47</v>
      </c>
      <c r="M17" t="s">
        <v>48</v>
      </c>
      <c r="S17" t="s">
        <v>4</v>
      </c>
      <c r="T17" t="s">
        <v>46</v>
      </c>
      <c r="U17" t="s">
        <v>47</v>
      </c>
      <c r="V17" t="s">
        <v>48</v>
      </c>
    </row>
    <row r="18" spans="1:25" x14ac:dyDescent="0.25">
      <c r="A18" t="s">
        <v>27</v>
      </c>
      <c r="J18" t="s">
        <v>27</v>
      </c>
      <c r="S18" t="s">
        <v>27</v>
      </c>
    </row>
    <row r="19" spans="1:25" x14ac:dyDescent="0.25">
      <c r="A19" t="s">
        <v>44</v>
      </c>
      <c r="J19" t="s">
        <v>44</v>
      </c>
      <c r="S19" t="s">
        <v>44</v>
      </c>
    </row>
    <row r="20" spans="1:25" x14ac:dyDescent="0.25">
      <c r="A20" t="s">
        <v>45</v>
      </c>
      <c r="J20" t="s">
        <v>45</v>
      </c>
      <c r="S20" t="s">
        <v>45</v>
      </c>
    </row>
    <row r="21" spans="1:25" x14ac:dyDescent="0.25">
      <c r="A21" t="s">
        <v>49</v>
      </c>
      <c r="J21" t="s">
        <v>49</v>
      </c>
      <c r="S21" t="s">
        <v>49</v>
      </c>
    </row>
    <row r="22" spans="1:25" x14ac:dyDescent="0.25">
      <c r="A22" s="41"/>
      <c r="B22" s="41"/>
      <c r="C22" s="41"/>
      <c r="D22" s="41"/>
      <c r="E22" s="41"/>
      <c r="F22" s="41"/>
      <c r="G22" s="41"/>
      <c r="J22" s="41"/>
      <c r="K22" s="41"/>
      <c r="L22" s="41"/>
      <c r="M22" s="41"/>
      <c r="N22" s="41"/>
      <c r="O22" s="41"/>
      <c r="P22" s="41"/>
      <c r="S22" s="41"/>
      <c r="T22" s="41"/>
      <c r="U22" s="41"/>
      <c r="V22" s="41"/>
      <c r="W22" s="41"/>
      <c r="X22" s="41"/>
      <c r="Y22" s="41"/>
    </row>
    <row r="23" spans="1:25" x14ac:dyDescent="0.25">
      <c r="A23" s="41"/>
      <c r="B23" s="41"/>
      <c r="C23" s="41"/>
      <c r="D23" s="41"/>
      <c r="E23" s="41"/>
      <c r="F23" s="41"/>
      <c r="G23" s="41"/>
      <c r="J23" s="41"/>
      <c r="K23" s="41"/>
      <c r="L23" s="41"/>
      <c r="M23" s="41"/>
      <c r="N23" s="41"/>
      <c r="O23" s="41"/>
      <c r="P23" s="41"/>
      <c r="S23" s="41"/>
      <c r="T23" s="41"/>
      <c r="U23" s="41"/>
      <c r="V23" s="41"/>
      <c r="W23" s="41"/>
      <c r="X23" s="41"/>
      <c r="Y23" s="41"/>
    </row>
    <row r="24" spans="1:25" x14ac:dyDescent="0.25">
      <c r="A24" s="41"/>
      <c r="B24" s="41"/>
      <c r="C24" s="41"/>
      <c r="D24" s="41"/>
      <c r="E24" s="41"/>
      <c r="F24" s="41"/>
      <c r="G24" s="41"/>
      <c r="J24" s="41"/>
      <c r="K24" s="41"/>
      <c r="L24" s="41"/>
      <c r="M24" s="41"/>
      <c r="N24" s="41"/>
      <c r="O24" s="41"/>
      <c r="P24" s="41"/>
      <c r="S24" s="41"/>
      <c r="T24" s="41"/>
      <c r="U24" s="41"/>
      <c r="V24" s="41"/>
      <c r="W24" s="41"/>
      <c r="X24" s="41"/>
      <c r="Y24" s="41"/>
    </row>
    <row r="25" spans="1:25" x14ac:dyDescent="0.25">
      <c r="A25" s="41"/>
      <c r="B25" s="41"/>
      <c r="C25" s="41"/>
      <c r="D25" s="41"/>
      <c r="E25" s="41"/>
      <c r="F25" s="41"/>
      <c r="G25" s="41"/>
      <c r="J25" s="41"/>
      <c r="K25" s="41"/>
      <c r="L25" s="41"/>
      <c r="M25" s="41"/>
      <c r="N25" s="41"/>
      <c r="O25" s="41"/>
      <c r="P25" s="41"/>
      <c r="S25" s="41"/>
      <c r="T25" s="41"/>
      <c r="U25" s="41"/>
      <c r="V25" s="41"/>
      <c r="W25" s="41"/>
      <c r="X25" s="41"/>
      <c r="Y25" s="41"/>
    </row>
    <row r="26" spans="1:25" x14ac:dyDescent="0.25">
      <c r="A26" s="41"/>
      <c r="B26" s="41"/>
      <c r="C26" s="41"/>
      <c r="D26" s="41"/>
      <c r="E26" s="41"/>
      <c r="F26" s="41"/>
      <c r="G26" s="41"/>
      <c r="J26" s="41"/>
      <c r="K26" s="41"/>
      <c r="L26" s="41"/>
      <c r="M26" s="41"/>
      <c r="N26" s="41"/>
      <c r="O26" s="41"/>
      <c r="P26" s="41"/>
      <c r="S26" s="41"/>
      <c r="T26" s="41"/>
      <c r="U26" s="41"/>
      <c r="V26" s="41"/>
      <c r="W26" s="41"/>
      <c r="X26" s="41"/>
      <c r="Y26" s="41"/>
    </row>
    <row r="27" spans="1:25" x14ac:dyDescent="0.25">
      <c r="A27" s="41"/>
      <c r="B27" s="41"/>
      <c r="C27" s="41"/>
      <c r="D27" s="41"/>
      <c r="E27" s="41"/>
      <c r="F27" s="41"/>
      <c r="G27" s="41"/>
      <c r="J27" s="41"/>
      <c r="K27" s="41"/>
      <c r="L27" s="41"/>
      <c r="M27" s="41"/>
      <c r="N27" s="41"/>
      <c r="O27" s="41"/>
      <c r="P27" s="41"/>
      <c r="S27" s="41"/>
      <c r="T27" s="41"/>
      <c r="U27" s="41"/>
      <c r="V27" s="41"/>
      <c r="W27" s="41"/>
      <c r="X27" s="41"/>
      <c r="Y27" s="41"/>
    </row>
    <row r="30" spans="1:25" s="16" customFormat="1" x14ac:dyDescent="0.25">
      <c r="A30" s="16" t="s">
        <v>8</v>
      </c>
    </row>
    <row r="31" spans="1:25" x14ac:dyDescent="0.25">
      <c r="A31" t="s">
        <v>2</v>
      </c>
      <c r="B31" t="s">
        <v>46</v>
      </c>
      <c r="C31" t="s">
        <v>47</v>
      </c>
      <c r="D31" t="s">
        <v>48</v>
      </c>
      <c r="J31" t="s">
        <v>3</v>
      </c>
      <c r="K31" t="s">
        <v>46</v>
      </c>
      <c r="L31" t="s">
        <v>47</v>
      </c>
      <c r="M31" t="s">
        <v>48</v>
      </c>
      <c r="S31" t="s">
        <v>4</v>
      </c>
      <c r="T31" t="s">
        <v>46</v>
      </c>
      <c r="U31" t="s">
        <v>47</v>
      </c>
      <c r="V31" t="s">
        <v>48</v>
      </c>
    </row>
    <row r="32" spans="1:25" x14ac:dyDescent="0.25">
      <c r="A32" t="s">
        <v>27</v>
      </c>
      <c r="J32" t="s">
        <v>27</v>
      </c>
      <c r="S32" t="s">
        <v>27</v>
      </c>
    </row>
    <row r="33" spans="1:25" x14ac:dyDescent="0.25">
      <c r="A33" t="s">
        <v>44</v>
      </c>
      <c r="J33" t="s">
        <v>44</v>
      </c>
      <c r="S33" t="s">
        <v>44</v>
      </c>
    </row>
    <row r="34" spans="1:25" x14ac:dyDescent="0.25">
      <c r="A34" t="s">
        <v>45</v>
      </c>
      <c r="J34" t="s">
        <v>45</v>
      </c>
      <c r="S34" t="s">
        <v>45</v>
      </c>
    </row>
    <row r="35" spans="1:25" x14ac:dyDescent="0.25">
      <c r="A35" t="s">
        <v>49</v>
      </c>
      <c r="J35" t="s">
        <v>49</v>
      </c>
      <c r="S35" t="s">
        <v>49</v>
      </c>
    </row>
    <row r="36" spans="1:25" x14ac:dyDescent="0.25">
      <c r="A36" s="41"/>
      <c r="B36" s="41"/>
      <c r="C36" s="41"/>
      <c r="D36" s="41"/>
      <c r="E36" s="41"/>
      <c r="F36" s="41"/>
      <c r="G36" s="41"/>
      <c r="J36" s="41"/>
      <c r="K36" s="41"/>
      <c r="L36" s="41"/>
      <c r="M36" s="41"/>
      <c r="N36" s="41"/>
      <c r="O36" s="41"/>
      <c r="P36" s="41"/>
      <c r="S36" s="41"/>
      <c r="T36" s="41"/>
      <c r="U36" s="41"/>
      <c r="V36" s="41"/>
      <c r="W36" s="41"/>
      <c r="X36" s="41"/>
      <c r="Y36" s="41"/>
    </row>
    <row r="37" spans="1:25" x14ac:dyDescent="0.25">
      <c r="A37" s="41"/>
      <c r="B37" s="41"/>
      <c r="C37" s="41"/>
      <c r="D37" s="41"/>
      <c r="E37" s="41"/>
      <c r="F37" s="41"/>
      <c r="G37" s="41"/>
      <c r="J37" s="41"/>
      <c r="K37" s="41"/>
      <c r="L37" s="41"/>
      <c r="M37" s="41"/>
      <c r="N37" s="41"/>
      <c r="O37" s="41"/>
      <c r="P37" s="41"/>
      <c r="S37" s="41"/>
      <c r="T37" s="41"/>
      <c r="U37" s="41"/>
      <c r="V37" s="41"/>
      <c r="W37" s="41"/>
      <c r="X37" s="41"/>
      <c r="Y37" s="41"/>
    </row>
    <row r="38" spans="1:25" x14ac:dyDescent="0.25">
      <c r="A38" s="41"/>
      <c r="B38" s="41"/>
      <c r="C38" s="41"/>
      <c r="D38" s="41"/>
      <c r="E38" s="41"/>
      <c r="F38" s="41"/>
      <c r="G38" s="41"/>
      <c r="J38" s="41"/>
      <c r="K38" s="41"/>
      <c r="L38" s="41"/>
      <c r="M38" s="41"/>
      <c r="N38" s="41"/>
      <c r="O38" s="41"/>
      <c r="P38" s="41"/>
      <c r="S38" s="41"/>
      <c r="T38" s="41"/>
      <c r="U38" s="41"/>
      <c r="V38" s="41"/>
      <c r="W38" s="41"/>
      <c r="X38" s="41"/>
      <c r="Y38" s="41"/>
    </row>
    <row r="39" spans="1:25" x14ac:dyDescent="0.25">
      <c r="A39" s="41"/>
      <c r="B39" s="41"/>
      <c r="C39" s="41"/>
      <c r="D39" s="41"/>
      <c r="E39" s="41"/>
      <c r="F39" s="41"/>
      <c r="G39" s="41"/>
      <c r="J39" s="41"/>
      <c r="K39" s="41"/>
      <c r="L39" s="41"/>
      <c r="M39" s="41"/>
      <c r="N39" s="41"/>
      <c r="O39" s="41"/>
      <c r="P39" s="41"/>
      <c r="S39" s="41"/>
      <c r="T39" s="41"/>
      <c r="U39" s="41"/>
      <c r="V39" s="41"/>
      <c r="W39" s="41"/>
      <c r="X39" s="41"/>
      <c r="Y39" s="41"/>
    </row>
    <row r="40" spans="1:25" x14ac:dyDescent="0.25">
      <c r="A40" s="41"/>
      <c r="B40" s="41"/>
      <c r="C40" s="41"/>
      <c r="D40" s="41"/>
      <c r="E40" s="41"/>
      <c r="F40" s="41"/>
      <c r="G40" s="41"/>
      <c r="J40" s="41"/>
      <c r="K40" s="41"/>
      <c r="L40" s="41"/>
      <c r="M40" s="41"/>
      <c r="N40" s="41"/>
      <c r="O40" s="41"/>
      <c r="P40" s="41"/>
      <c r="S40" s="41"/>
      <c r="T40" s="41"/>
      <c r="U40" s="41"/>
      <c r="V40" s="41"/>
      <c r="W40" s="41"/>
      <c r="X40" s="41"/>
      <c r="Y40" s="41"/>
    </row>
    <row r="41" spans="1:25" x14ac:dyDescent="0.25">
      <c r="A41" s="41"/>
      <c r="B41" s="41"/>
      <c r="C41" s="41"/>
      <c r="D41" s="41"/>
      <c r="E41" s="41"/>
      <c r="F41" s="41"/>
      <c r="G41" s="41"/>
      <c r="J41" s="41"/>
      <c r="K41" s="41"/>
      <c r="L41" s="41"/>
      <c r="M41" s="41"/>
      <c r="N41" s="41"/>
      <c r="O41" s="41"/>
      <c r="P41" s="41"/>
      <c r="S41" s="41"/>
      <c r="T41" s="41"/>
      <c r="U41" s="41"/>
      <c r="V41" s="41"/>
      <c r="W41" s="41"/>
      <c r="X41" s="41"/>
      <c r="Y41" s="41"/>
    </row>
    <row r="44" spans="1:25" s="17" customFormat="1" x14ac:dyDescent="0.25">
      <c r="A44" s="17" t="s">
        <v>9</v>
      </c>
    </row>
    <row r="45" spans="1:25" x14ac:dyDescent="0.25">
      <c r="A45" t="s">
        <v>2</v>
      </c>
      <c r="B45" t="s">
        <v>46</v>
      </c>
      <c r="C45" t="s">
        <v>47</v>
      </c>
      <c r="D45" t="s">
        <v>48</v>
      </c>
      <c r="J45" t="s">
        <v>3</v>
      </c>
      <c r="K45" t="s">
        <v>46</v>
      </c>
      <c r="L45" t="s">
        <v>47</v>
      </c>
      <c r="M45" t="s">
        <v>48</v>
      </c>
      <c r="S45" t="s">
        <v>4</v>
      </c>
      <c r="T45" t="s">
        <v>46</v>
      </c>
      <c r="U45" t="s">
        <v>47</v>
      </c>
      <c r="V45" t="s">
        <v>48</v>
      </c>
    </row>
    <row r="46" spans="1:25" x14ac:dyDescent="0.25">
      <c r="A46" t="s">
        <v>27</v>
      </c>
      <c r="J46" t="s">
        <v>27</v>
      </c>
      <c r="S46" t="s">
        <v>27</v>
      </c>
    </row>
    <row r="47" spans="1:25" x14ac:dyDescent="0.25">
      <c r="A47" t="s">
        <v>44</v>
      </c>
      <c r="J47" t="s">
        <v>44</v>
      </c>
      <c r="S47" t="s">
        <v>44</v>
      </c>
    </row>
    <row r="48" spans="1:25" x14ac:dyDescent="0.25">
      <c r="A48" t="s">
        <v>45</v>
      </c>
      <c r="J48" t="s">
        <v>45</v>
      </c>
      <c r="S48" t="s">
        <v>45</v>
      </c>
    </row>
    <row r="49" spans="1:25" x14ac:dyDescent="0.25">
      <c r="A49" t="s">
        <v>49</v>
      </c>
      <c r="J49" t="s">
        <v>49</v>
      </c>
      <c r="S49" t="s">
        <v>49</v>
      </c>
    </row>
    <row r="50" spans="1:25" x14ac:dyDescent="0.25">
      <c r="A50" s="41"/>
      <c r="B50" s="41"/>
      <c r="C50" s="41"/>
      <c r="D50" s="41"/>
      <c r="E50" s="41"/>
      <c r="F50" s="41"/>
      <c r="G50" s="41"/>
      <c r="J50" s="41"/>
      <c r="K50" s="41"/>
      <c r="L50" s="41"/>
      <c r="M50" s="41"/>
      <c r="N50" s="41"/>
      <c r="O50" s="41"/>
      <c r="P50" s="41"/>
      <c r="S50" s="41"/>
      <c r="T50" s="41"/>
      <c r="U50" s="41"/>
      <c r="V50" s="41"/>
      <c r="W50" s="41"/>
      <c r="X50" s="41"/>
      <c r="Y50" s="41"/>
    </row>
    <row r="51" spans="1:25" x14ac:dyDescent="0.25">
      <c r="A51" s="41"/>
      <c r="B51" s="41"/>
      <c r="C51" s="41"/>
      <c r="D51" s="41"/>
      <c r="E51" s="41"/>
      <c r="F51" s="41"/>
      <c r="G51" s="41"/>
      <c r="J51" s="41"/>
      <c r="K51" s="41"/>
      <c r="L51" s="41"/>
      <c r="M51" s="41"/>
      <c r="N51" s="41"/>
      <c r="O51" s="41"/>
      <c r="P51" s="41"/>
      <c r="S51" s="41"/>
      <c r="T51" s="41"/>
      <c r="U51" s="41"/>
      <c r="V51" s="41"/>
      <c r="W51" s="41"/>
      <c r="X51" s="41"/>
      <c r="Y51" s="41"/>
    </row>
    <row r="52" spans="1:25" x14ac:dyDescent="0.25">
      <c r="A52" s="41"/>
      <c r="B52" s="41"/>
      <c r="C52" s="41"/>
      <c r="D52" s="41"/>
      <c r="E52" s="41"/>
      <c r="F52" s="41"/>
      <c r="G52" s="41"/>
      <c r="J52" s="41"/>
      <c r="K52" s="41"/>
      <c r="L52" s="41"/>
      <c r="M52" s="41"/>
      <c r="N52" s="41"/>
      <c r="O52" s="41"/>
      <c r="P52" s="41"/>
      <c r="S52" s="41"/>
      <c r="T52" s="41"/>
      <c r="U52" s="41"/>
      <c r="V52" s="41"/>
      <c r="W52" s="41"/>
      <c r="X52" s="41"/>
      <c r="Y52" s="41"/>
    </row>
    <row r="53" spans="1:25" x14ac:dyDescent="0.25">
      <c r="A53" s="41"/>
      <c r="B53" s="41"/>
      <c r="C53" s="41"/>
      <c r="D53" s="41"/>
      <c r="E53" s="41"/>
      <c r="F53" s="41"/>
      <c r="G53" s="41"/>
      <c r="J53" s="41"/>
      <c r="K53" s="41"/>
      <c r="L53" s="41"/>
      <c r="M53" s="41"/>
      <c r="N53" s="41"/>
      <c r="O53" s="41"/>
      <c r="P53" s="41"/>
      <c r="S53" s="41"/>
      <c r="T53" s="41"/>
      <c r="U53" s="41"/>
      <c r="V53" s="41"/>
      <c r="W53" s="41"/>
      <c r="X53" s="41"/>
      <c r="Y53" s="41"/>
    </row>
    <row r="54" spans="1:25" x14ac:dyDescent="0.25">
      <c r="A54" s="41"/>
      <c r="B54" s="41"/>
      <c r="C54" s="41"/>
      <c r="D54" s="41"/>
      <c r="E54" s="41"/>
      <c r="F54" s="41"/>
      <c r="G54" s="41"/>
      <c r="J54" s="41"/>
      <c r="K54" s="41"/>
      <c r="L54" s="41"/>
      <c r="M54" s="41"/>
      <c r="N54" s="41"/>
      <c r="O54" s="41"/>
      <c r="P54" s="41"/>
      <c r="S54" s="41"/>
      <c r="T54" s="41"/>
      <c r="U54" s="41"/>
      <c r="V54" s="41"/>
      <c r="W54" s="41"/>
      <c r="X54" s="41"/>
      <c r="Y54" s="41"/>
    </row>
    <row r="55" spans="1:25" x14ac:dyDescent="0.25">
      <c r="A55" s="41"/>
      <c r="B55" s="41"/>
      <c r="C55" s="41"/>
      <c r="D55" s="41"/>
      <c r="E55" s="41"/>
      <c r="F55" s="41"/>
      <c r="G55" s="41"/>
      <c r="J55" s="41"/>
      <c r="K55" s="41"/>
      <c r="L55" s="41"/>
      <c r="M55" s="41"/>
      <c r="N55" s="41"/>
      <c r="O55" s="41"/>
      <c r="P55" s="41"/>
      <c r="S55" s="41"/>
      <c r="T55" s="41"/>
      <c r="U55" s="41"/>
      <c r="V55" s="41"/>
      <c r="W55" s="41"/>
      <c r="X55" s="41"/>
      <c r="Y55" s="41"/>
    </row>
  </sheetData>
  <mergeCells count="14">
    <mergeCell ref="J50:P55"/>
    <mergeCell ref="S50:Y55"/>
    <mergeCell ref="B6:D6"/>
    <mergeCell ref="K6:M6"/>
    <mergeCell ref="J8:P13"/>
    <mergeCell ref="S8:Y13"/>
    <mergeCell ref="J22:P27"/>
    <mergeCell ref="S22:Y27"/>
    <mergeCell ref="J36:P41"/>
    <mergeCell ref="S36:Y41"/>
    <mergeCell ref="A8:G13"/>
    <mergeCell ref="A22:G27"/>
    <mergeCell ref="A36:G41"/>
    <mergeCell ref="A50:G55"/>
  </mergeCells>
  <hyperlinks>
    <hyperlink ref="B4" r:id="rId1" xr:uid="{767CAC11-4CDC-4264-8B0B-37D185F1631F}"/>
    <hyperlink ref="C4" r:id="rId2" xr:uid="{56FFDCCA-F0C4-4006-BBED-C81A6A7038AA}"/>
    <hyperlink ref="D4" r:id="rId3" xr:uid="{9EBFF38D-BE5B-437C-BD8A-C35E984A9868}"/>
    <hyperlink ref="B6:D6" r:id="rId4" display="X" xr:uid="{1471B479-9524-4392-BD10-C5DE514ECF42}"/>
    <hyperlink ref="K4" r:id="rId5" xr:uid="{EC85303B-233F-4D84-97A6-EE02C11984EE}"/>
    <hyperlink ref="B5" r:id="rId6" xr:uid="{565BBCAD-0826-46A2-ACB5-F64669A90C17}"/>
    <hyperlink ref="C5" r:id="rId7" xr:uid="{7699DD0B-59C1-4670-B830-6603BE7EBF66}"/>
    <hyperlink ref="D5" r:id="rId8" xr:uid="{56CDD742-283E-49CB-81F9-FF94CDC2C54F}"/>
    <hyperlink ref="L4" r:id="rId9" xr:uid="{A6F514DB-EBC7-418C-936C-B92F947A819B}"/>
    <hyperlink ref="M4" r:id="rId10" xr:uid="{1FEDC01D-3D84-4161-AA97-E23E1EF3BE9F}"/>
    <hyperlink ref="K5" r:id="rId11" xr:uid="{55022DD5-6983-41D5-9812-E9F50A09688D}"/>
    <hyperlink ref="L5" r:id="rId12" xr:uid="{A38CAD8F-4B4E-4B06-ACBE-B504A8F844DE}"/>
    <hyperlink ref="M5" r:id="rId13" xr:uid="{98901CFE-0DCE-4CA8-A9BD-5F12FFE47336}"/>
    <hyperlink ref="K6:M6" r:id="rId14" display="X" xr:uid="{814C97AE-0EEE-4849-BDB6-695EBBF71B01}"/>
    <hyperlink ref="T4" r:id="rId15" xr:uid="{6299B6F6-1D06-42C9-85BD-E2F225B10ECD}"/>
    <hyperlink ref="U4" r:id="rId16" xr:uid="{E2627287-2B24-48CE-92A3-407D11837E34}"/>
    <hyperlink ref="V4" r:id="rId17" xr:uid="{3DB2B106-F498-4BF6-BAD7-DDA7210DA23D}"/>
    <hyperlink ref="T5" r:id="rId18" display="0.91" xr:uid="{785285DF-EC47-46DA-933A-E47B3A40EF6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211A-CC22-45A5-90BA-1792D16C3E25}">
  <dimension ref="A1:AA83"/>
  <sheetViews>
    <sheetView zoomScale="85" zoomScaleNormal="85" workbookViewId="0">
      <selection activeCell="E8" sqref="E8"/>
    </sheetView>
  </sheetViews>
  <sheetFormatPr defaultRowHeight="15" x14ac:dyDescent="0.25"/>
  <cols>
    <col min="1" max="1" width="26.28515625" bestFit="1" customWidth="1"/>
    <col min="10" max="10" width="26.42578125" bestFit="1" customWidth="1"/>
    <col min="19" max="19" width="26.42578125" bestFit="1" customWidth="1"/>
  </cols>
  <sheetData>
    <row r="1" spans="1:25" x14ac:dyDescent="0.25">
      <c r="A1" s="41" t="s">
        <v>60</v>
      </c>
      <c r="B1" s="41"/>
      <c r="C1" s="41"/>
      <c r="D1" s="41"/>
      <c r="E1" s="41"/>
      <c r="F1" s="41"/>
      <c r="G1" s="41"/>
      <c r="H1" s="41"/>
      <c r="I1" s="41"/>
      <c r="J1" s="41"/>
      <c r="K1" s="41"/>
    </row>
    <row r="2" spans="1:25" s="14" customFormat="1" x14ac:dyDescent="0.25">
      <c r="A2" s="14" t="s">
        <v>6</v>
      </c>
    </row>
    <row r="3" spans="1:25" x14ac:dyDescent="0.25">
      <c r="A3" t="s">
        <v>2</v>
      </c>
      <c r="B3" t="s">
        <v>46</v>
      </c>
      <c r="C3" t="s">
        <v>47</v>
      </c>
      <c r="D3" t="s">
        <v>48</v>
      </c>
      <c r="J3" t="s">
        <v>3</v>
      </c>
      <c r="K3" t="s">
        <v>46</v>
      </c>
      <c r="L3" t="s">
        <v>47</v>
      </c>
      <c r="M3" t="s">
        <v>48</v>
      </c>
      <c r="S3" t="s">
        <v>4</v>
      </c>
      <c r="T3" t="s">
        <v>46</v>
      </c>
      <c r="U3" t="s">
        <v>47</v>
      </c>
      <c r="V3" t="s">
        <v>48</v>
      </c>
    </row>
    <row r="4" spans="1:25" x14ac:dyDescent="0.25">
      <c r="A4" t="s">
        <v>44</v>
      </c>
      <c r="B4" s="13"/>
      <c r="C4" s="13"/>
      <c r="D4" s="13"/>
      <c r="J4" t="s">
        <v>44</v>
      </c>
      <c r="K4" s="13"/>
      <c r="L4" s="13"/>
      <c r="M4" s="13"/>
      <c r="S4" t="s">
        <v>44</v>
      </c>
      <c r="T4" s="13"/>
      <c r="U4" s="13"/>
      <c r="V4" s="13"/>
    </row>
    <row r="5" spans="1:25" x14ac:dyDescent="0.25">
      <c r="A5" t="s">
        <v>62</v>
      </c>
      <c r="B5" s="12"/>
      <c r="C5" s="12"/>
      <c r="D5" s="12"/>
      <c r="J5" t="s">
        <v>62</v>
      </c>
      <c r="K5" s="12"/>
      <c r="L5" s="12"/>
      <c r="M5" s="12"/>
      <c r="S5" t="s">
        <v>62</v>
      </c>
      <c r="T5" s="12"/>
      <c r="U5" s="12"/>
      <c r="V5" s="12"/>
    </row>
    <row r="6" spans="1:25" x14ac:dyDescent="0.25">
      <c r="A6" t="s">
        <v>61</v>
      </c>
      <c r="B6" s="12"/>
      <c r="C6" s="12"/>
      <c r="D6" s="12"/>
      <c r="J6" t="s">
        <v>61</v>
      </c>
      <c r="K6" s="12"/>
      <c r="L6" s="12"/>
      <c r="M6" s="12"/>
      <c r="S6" t="s">
        <v>61</v>
      </c>
      <c r="T6" s="12"/>
      <c r="U6" s="12"/>
      <c r="V6" s="12"/>
    </row>
    <row r="7" spans="1:25" x14ac:dyDescent="0.25">
      <c r="A7" t="s">
        <v>120</v>
      </c>
      <c r="B7" s="12"/>
      <c r="C7" s="12"/>
      <c r="D7" s="12"/>
      <c r="J7" t="s">
        <v>120</v>
      </c>
      <c r="K7" s="12"/>
      <c r="L7" s="12"/>
      <c r="M7" s="12"/>
      <c r="S7" t="s">
        <v>120</v>
      </c>
      <c r="T7" s="12"/>
      <c r="U7" s="12"/>
      <c r="V7" s="12"/>
    </row>
    <row r="8" spans="1:25" x14ac:dyDescent="0.25">
      <c r="A8" t="s">
        <v>64</v>
      </c>
      <c r="B8" s="47"/>
      <c r="C8" s="47"/>
      <c r="D8" s="47"/>
      <c r="J8" t="s">
        <v>64</v>
      </c>
      <c r="K8" s="47"/>
      <c r="L8" s="47"/>
      <c r="M8" s="47"/>
      <c r="S8" t="s">
        <v>64</v>
      </c>
      <c r="T8" s="47"/>
      <c r="U8" s="47"/>
      <c r="V8" s="47"/>
    </row>
    <row r="9" spans="1:25" x14ac:dyDescent="0.25">
      <c r="A9" t="s">
        <v>267</v>
      </c>
      <c r="B9" s="20"/>
      <c r="C9" s="12"/>
      <c r="D9" s="12"/>
      <c r="J9" t="s">
        <v>267</v>
      </c>
      <c r="K9" s="20"/>
      <c r="L9" s="12"/>
      <c r="M9" s="12"/>
      <c r="S9" t="s">
        <v>267</v>
      </c>
      <c r="T9" s="20"/>
      <c r="U9" s="12"/>
      <c r="V9" s="12"/>
    </row>
    <row r="10" spans="1:25" x14ac:dyDescent="0.25">
      <c r="A10" t="s">
        <v>268</v>
      </c>
      <c r="B10" s="20"/>
      <c r="C10" s="12"/>
      <c r="D10" s="12"/>
      <c r="J10" t="s">
        <v>268</v>
      </c>
      <c r="K10" s="20"/>
      <c r="L10" s="12"/>
      <c r="M10" s="12"/>
      <c r="S10" t="s">
        <v>268</v>
      </c>
      <c r="T10" s="20"/>
      <c r="U10" s="12"/>
      <c r="V10" s="12"/>
    </row>
    <row r="11" spans="1:25" x14ac:dyDescent="0.25">
      <c r="A11" t="s">
        <v>269</v>
      </c>
      <c r="B11" s="20"/>
      <c r="C11" s="12"/>
      <c r="D11" s="12"/>
      <c r="J11" t="s">
        <v>269</v>
      </c>
      <c r="K11" s="20"/>
      <c r="L11" s="12"/>
      <c r="M11" s="12"/>
      <c r="S11" t="s">
        <v>269</v>
      </c>
      <c r="T11" s="20"/>
      <c r="U11" s="12"/>
      <c r="V11" s="12"/>
    </row>
    <row r="12" spans="1:25" x14ac:dyDescent="0.25">
      <c r="A12" t="s">
        <v>287</v>
      </c>
      <c r="B12" s="20"/>
      <c r="C12" s="12"/>
      <c r="D12" s="12"/>
      <c r="J12" t="s">
        <v>287</v>
      </c>
      <c r="K12" s="20"/>
      <c r="L12" s="12"/>
      <c r="M12" s="12"/>
      <c r="S12" t="s">
        <v>287</v>
      </c>
      <c r="T12" s="20"/>
      <c r="U12" s="12"/>
      <c r="V12" s="12"/>
    </row>
    <row r="13" spans="1:25" x14ac:dyDescent="0.25">
      <c r="A13" t="s">
        <v>45</v>
      </c>
      <c r="B13" s="12"/>
      <c r="C13" s="3"/>
      <c r="D13" s="3"/>
      <c r="J13" t="s">
        <v>45</v>
      </c>
      <c r="K13" s="12"/>
      <c r="L13" s="3"/>
      <c r="M13" s="3"/>
      <c r="S13" t="s">
        <v>45</v>
      </c>
      <c r="T13" s="12"/>
      <c r="U13" s="3"/>
      <c r="V13" s="3"/>
    </row>
    <row r="14" spans="1:25" x14ac:dyDescent="0.25">
      <c r="A14" t="s">
        <v>49</v>
      </c>
      <c r="J14" t="s">
        <v>49</v>
      </c>
      <c r="S14" t="s">
        <v>49</v>
      </c>
    </row>
    <row r="15" spans="1:25" x14ac:dyDescent="0.25">
      <c r="A15" s="41"/>
      <c r="B15" s="41"/>
      <c r="C15" s="41"/>
      <c r="D15" s="41"/>
      <c r="E15" s="41"/>
      <c r="F15" s="41"/>
      <c r="G15" s="41"/>
      <c r="J15" s="41"/>
      <c r="K15" s="41"/>
      <c r="L15" s="41"/>
      <c r="M15" s="41"/>
      <c r="N15" s="41"/>
      <c r="O15" s="41"/>
      <c r="P15" s="41"/>
      <c r="S15" s="41"/>
      <c r="T15" s="41"/>
      <c r="U15" s="41"/>
      <c r="V15" s="41"/>
      <c r="W15" s="41"/>
      <c r="X15" s="41"/>
      <c r="Y15" s="41"/>
    </row>
    <row r="16" spans="1:25" x14ac:dyDescent="0.25">
      <c r="A16" s="41"/>
      <c r="B16" s="41"/>
      <c r="C16" s="41"/>
      <c r="D16" s="41"/>
      <c r="E16" s="41"/>
      <c r="F16" s="41"/>
      <c r="G16" s="41"/>
      <c r="J16" s="41"/>
      <c r="K16" s="41"/>
      <c r="L16" s="41"/>
      <c r="M16" s="41"/>
      <c r="N16" s="41"/>
      <c r="O16" s="41"/>
      <c r="P16" s="41"/>
      <c r="S16" s="41"/>
      <c r="T16" s="41"/>
      <c r="U16" s="41"/>
      <c r="V16" s="41"/>
      <c r="W16" s="41"/>
      <c r="X16" s="41"/>
      <c r="Y16" s="41"/>
    </row>
    <row r="17" spans="1:27" x14ac:dyDescent="0.25">
      <c r="A17" s="41"/>
      <c r="B17" s="41"/>
      <c r="C17" s="41"/>
      <c r="D17" s="41"/>
      <c r="E17" s="41"/>
      <c r="F17" s="41"/>
      <c r="G17" s="41"/>
      <c r="J17" s="41"/>
      <c r="K17" s="41"/>
      <c r="L17" s="41"/>
      <c r="M17" s="41"/>
      <c r="N17" s="41"/>
      <c r="O17" s="41"/>
      <c r="P17" s="41"/>
      <c r="S17" s="41"/>
      <c r="T17" s="41"/>
      <c r="U17" s="41"/>
      <c r="V17" s="41"/>
      <c r="W17" s="41"/>
      <c r="X17" s="41"/>
      <c r="Y17" s="41"/>
    </row>
    <row r="18" spans="1:27" x14ac:dyDescent="0.25">
      <c r="A18" s="41"/>
      <c r="B18" s="41"/>
      <c r="C18" s="41"/>
      <c r="D18" s="41"/>
      <c r="E18" s="41"/>
      <c r="F18" s="41"/>
      <c r="G18" s="41"/>
      <c r="J18" s="41"/>
      <c r="K18" s="41"/>
      <c r="L18" s="41"/>
      <c r="M18" s="41"/>
      <c r="N18" s="41"/>
      <c r="O18" s="41"/>
      <c r="P18" s="41"/>
      <c r="S18" s="41"/>
      <c r="T18" s="41"/>
      <c r="U18" s="41"/>
      <c r="V18" s="41"/>
      <c r="W18" s="41"/>
      <c r="X18" s="41"/>
      <c r="Y18" s="41"/>
    </row>
    <row r="19" spans="1:27" x14ac:dyDescent="0.25">
      <c r="A19" s="41"/>
      <c r="B19" s="41"/>
      <c r="C19" s="41"/>
      <c r="D19" s="41"/>
      <c r="E19" s="41"/>
      <c r="F19" s="41"/>
      <c r="G19" s="41"/>
      <c r="J19" s="41"/>
      <c r="K19" s="41"/>
      <c r="L19" s="41"/>
      <c r="M19" s="41"/>
      <c r="N19" s="41"/>
      <c r="O19" s="41"/>
      <c r="P19" s="41"/>
      <c r="S19" s="41"/>
      <c r="T19" s="41"/>
      <c r="U19" s="41"/>
      <c r="V19" s="41"/>
      <c r="W19" s="41"/>
      <c r="X19" s="41"/>
      <c r="Y19" s="41"/>
    </row>
    <row r="20" spans="1:27" x14ac:dyDescent="0.25">
      <c r="A20" s="41"/>
      <c r="B20" s="41"/>
      <c r="C20" s="41"/>
      <c r="D20" s="41"/>
      <c r="E20" s="41"/>
      <c r="F20" s="41"/>
      <c r="G20" s="41"/>
      <c r="J20" s="41"/>
      <c r="K20" s="41"/>
      <c r="L20" s="41"/>
      <c r="M20" s="41"/>
      <c r="N20" s="41"/>
      <c r="O20" s="41"/>
      <c r="P20" s="41"/>
      <c r="S20" s="41"/>
      <c r="T20" s="41"/>
      <c r="U20" s="41"/>
      <c r="V20" s="41"/>
      <c r="W20" s="41"/>
      <c r="X20" s="41"/>
      <c r="Y20" s="41"/>
    </row>
    <row r="23" spans="1:27" x14ac:dyDescent="0.25">
      <c r="A23" s="15" t="s">
        <v>7</v>
      </c>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spans="1:27" x14ac:dyDescent="0.25">
      <c r="A24" t="s">
        <v>2</v>
      </c>
      <c r="B24" t="s">
        <v>46</v>
      </c>
      <c r="C24" t="s">
        <v>47</v>
      </c>
      <c r="D24" t="s">
        <v>48</v>
      </c>
      <c r="J24" t="s">
        <v>3</v>
      </c>
      <c r="K24" t="s">
        <v>46</v>
      </c>
      <c r="L24" t="s">
        <v>47</v>
      </c>
      <c r="M24" t="s">
        <v>48</v>
      </c>
      <c r="S24" t="s">
        <v>4</v>
      </c>
      <c r="T24" t="s">
        <v>46</v>
      </c>
      <c r="U24" t="s">
        <v>47</v>
      </c>
      <c r="V24" t="s">
        <v>48</v>
      </c>
    </row>
    <row r="25" spans="1:27" x14ac:dyDescent="0.25">
      <c r="A25" t="s">
        <v>44</v>
      </c>
      <c r="B25" s="13"/>
      <c r="C25" s="13"/>
      <c r="D25" s="13"/>
      <c r="J25" t="s">
        <v>44</v>
      </c>
      <c r="K25" s="13"/>
      <c r="L25" s="13"/>
      <c r="M25" s="13"/>
      <c r="S25" t="s">
        <v>44</v>
      </c>
      <c r="T25" s="13"/>
      <c r="U25" s="13"/>
      <c r="V25" s="13"/>
    </row>
    <row r="26" spans="1:27" x14ac:dyDescent="0.25">
      <c r="A26" t="s">
        <v>62</v>
      </c>
      <c r="B26" s="12"/>
      <c r="C26" s="12"/>
      <c r="D26" s="12"/>
      <c r="J26" t="s">
        <v>62</v>
      </c>
      <c r="K26" s="12"/>
      <c r="L26" s="12"/>
      <c r="M26" s="12"/>
      <c r="S26" t="s">
        <v>62</v>
      </c>
      <c r="T26" s="12"/>
      <c r="U26" s="12"/>
      <c r="V26" s="12"/>
    </row>
    <row r="27" spans="1:27" x14ac:dyDescent="0.25">
      <c r="A27" t="s">
        <v>61</v>
      </c>
      <c r="B27" s="12"/>
      <c r="C27" s="12"/>
      <c r="D27" s="12"/>
      <c r="J27" t="s">
        <v>61</v>
      </c>
      <c r="K27" s="12"/>
      <c r="L27" s="12"/>
      <c r="M27" s="12"/>
      <c r="S27" t="s">
        <v>61</v>
      </c>
      <c r="T27" s="12"/>
      <c r="U27" s="12"/>
      <c r="V27" s="12"/>
    </row>
    <row r="28" spans="1:27" x14ac:dyDescent="0.25">
      <c r="A28" t="s">
        <v>120</v>
      </c>
      <c r="B28" s="12"/>
      <c r="C28" s="12"/>
      <c r="D28" s="12"/>
      <c r="J28" t="s">
        <v>120</v>
      </c>
      <c r="K28" s="12"/>
      <c r="L28" s="12"/>
      <c r="M28" s="12"/>
      <c r="S28" t="s">
        <v>120</v>
      </c>
      <c r="T28" s="12"/>
      <c r="U28" s="12"/>
      <c r="V28" s="12"/>
    </row>
    <row r="29" spans="1:27" x14ac:dyDescent="0.25">
      <c r="A29" t="s">
        <v>64</v>
      </c>
      <c r="B29" s="47"/>
      <c r="C29" s="47"/>
      <c r="D29" s="47"/>
      <c r="J29" t="s">
        <v>64</v>
      </c>
      <c r="K29" s="47"/>
      <c r="L29" s="47"/>
      <c r="M29" s="47"/>
      <c r="S29" t="s">
        <v>64</v>
      </c>
      <c r="T29" s="47"/>
      <c r="U29" s="47"/>
      <c r="V29" s="47"/>
    </row>
    <row r="30" spans="1:27" x14ac:dyDescent="0.25">
      <c r="A30" t="s">
        <v>267</v>
      </c>
      <c r="B30" s="20"/>
      <c r="C30" s="12"/>
      <c r="D30" s="12"/>
      <c r="J30" t="s">
        <v>267</v>
      </c>
      <c r="K30" s="20"/>
      <c r="L30" s="12"/>
      <c r="M30" s="12"/>
      <c r="S30" t="s">
        <v>267</v>
      </c>
      <c r="T30" s="20"/>
      <c r="U30" s="12"/>
      <c r="V30" s="12"/>
    </row>
    <row r="31" spans="1:27" x14ac:dyDescent="0.25">
      <c r="A31" t="s">
        <v>268</v>
      </c>
      <c r="B31" s="20"/>
      <c r="C31" s="12"/>
      <c r="D31" s="12"/>
      <c r="J31" t="s">
        <v>268</v>
      </c>
      <c r="K31" s="20"/>
      <c r="L31" s="12"/>
      <c r="M31" s="12"/>
      <c r="S31" t="s">
        <v>268</v>
      </c>
      <c r="T31" s="20"/>
      <c r="U31" s="12"/>
      <c r="V31" s="12"/>
    </row>
    <row r="32" spans="1:27" x14ac:dyDescent="0.25">
      <c r="A32" t="s">
        <v>269</v>
      </c>
      <c r="B32" s="20"/>
      <c r="C32" s="12"/>
      <c r="D32" s="12"/>
      <c r="J32" t="s">
        <v>269</v>
      </c>
      <c r="K32" s="20"/>
      <c r="L32" s="12"/>
      <c r="M32" s="12"/>
      <c r="S32" t="s">
        <v>269</v>
      </c>
      <c r="T32" s="20"/>
      <c r="U32" s="12"/>
      <c r="V32" s="12"/>
    </row>
    <row r="33" spans="1:27" x14ac:dyDescent="0.25">
      <c r="A33" t="s">
        <v>287</v>
      </c>
      <c r="B33" s="20"/>
      <c r="C33" s="12"/>
      <c r="D33" s="12"/>
      <c r="J33" t="s">
        <v>287</v>
      </c>
      <c r="K33" s="20"/>
      <c r="L33" s="12"/>
      <c r="M33" s="12"/>
      <c r="S33" t="s">
        <v>287</v>
      </c>
      <c r="T33" s="20"/>
      <c r="U33" s="12"/>
      <c r="V33" s="12"/>
    </row>
    <row r="34" spans="1:27" x14ac:dyDescent="0.25">
      <c r="A34" t="s">
        <v>45</v>
      </c>
      <c r="B34" s="12"/>
      <c r="C34" s="3"/>
      <c r="D34" s="3"/>
      <c r="J34" t="s">
        <v>45</v>
      </c>
      <c r="K34" s="12"/>
      <c r="L34" s="3"/>
      <c r="M34" s="3"/>
      <c r="S34" t="s">
        <v>45</v>
      </c>
      <c r="T34" s="12"/>
      <c r="U34" s="3"/>
      <c r="V34" s="3"/>
    </row>
    <row r="35" spans="1:27" x14ac:dyDescent="0.25">
      <c r="A35" t="s">
        <v>49</v>
      </c>
      <c r="J35" t="s">
        <v>49</v>
      </c>
      <c r="S35" t="s">
        <v>49</v>
      </c>
    </row>
    <row r="36" spans="1:27" x14ac:dyDescent="0.25">
      <c r="A36" s="41"/>
      <c r="B36" s="41"/>
      <c r="C36" s="41"/>
      <c r="D36" s="41"/>
      <c r="E36" s="41"/>
      <c r="F36" s="41"/>
      <c r="G36" s="41"/>
      <c r="J36" s="41"/>
      <c r="K36" s="41"/>
      <c r="L36" s="41"/>
      <c r="M36" s="41"/>
      <c r="N36" s="41"/>
      <c r="O36" s="41"/>
      <c r="P36" s="41"/>
      <c r="S36" s="41"/>
      <c r="T36" s="41"/>
      <c r="U36" s="41"/>
      <c r="V36" s="41"/>
      <c r="W36" s="41"/>
      <c r="X36" s="41"/>
      <c r="Y36" s="41"/>
    </row>
    <row r="37" spans="1:27" x14ac:dyDescent="0.25">
      <c r="A37" s="41"/>
      <c r="B37" s="41"/>
      <c r="C37" s="41"/>
      <c r="D37" s="41"/>
      <c r="E37" s="41"/>
      <c r="F37" s="41"/>
      <c r="G37" s="41"/>
      <c r="J37" s="41"/>
      <c r="K37" s="41"/>
      <c r="L37" s="41"/>
      <c r="M37" s="41"/>
      <c r="N37" s="41"/>
      <c r="O37" s="41"/>
      <c r="P37" s="41"/>
      <c r="S37" s="41"/>
      <c r="T37" s="41"/>
      <c r="U37" s="41"/>
      <c r="V37" s="41"/>
      <c r="W37" s="41"/>
      <c r="X37" s="41"/>
      <c r="Y37" s="41"/>
    </row>
    <row r="38" spans="1:27" x14ac:dyDescent="0.25">
      <c r="A38" s="41"/>
      <c r="B38" s="41"/>
      <c r="C38" s="41"/>
      <c r="D38" s="41"/>
      <c r="E38" s="41"/>
      <c r="F38" s="41"/>
      <c r="G38" s="41"/>
      <c r="J38" s="41"/>
      <c r="K38" s="41"/>
      <c r="L38" s="41"/>
      <c r="M38" s="41"/>
      <c r="N38" s="41"/>
      <c r="O38" s="41"/>
      <c r="P38" s="41"/>
      <c r="S38" s="41"/>
      <c r="T38" s="41"/>
      <c r="U38" s="41"/>
      <c r="V38" s="41"/>
      <c r="W38" s="41"/>
      <c r="X38" s="41"/>
      <c r="Y38" s="41"/>
    </row>
    <row r="39" spans="1:27" x14ac:dyDescent="0.25">
      <c r="A39" s="41"/>
      <c r="B39" s="41"/>
      <c r="C39" s="41"/>
      <c r="D39" s="41"/>
      <c r="E39" s="41"/>
      <c r="F39" s="41"/>
      <c r="G39" s="41"/>
      <c r="J39" s="41"/>
      <c r="K39" s="41"/>
      <c r="L39" s="41"/>
      <c r="M39" s="41"/>
      <c r="N39" s="41"/>
      <c r="O39" s="41"/>
      <c r="P39" s="41"/>
      <c r="S39" s="41"/>
      <c r="T39" s="41"/>
      <c r="U39" s="41"/>
      <c r="V39" s="41"/>
      <c r="W39" s="41"/>
      <c r="X39" s="41"/>
      <c r="Y39" s="41"/>
    </row>
    <row r="40" spans="1:27" x14ac:dyDescent="0.25">
      <c r="A40" s="41"/>
      <c r="B40" s="41"/>
      <c r="C40" s="41"/>
      <c r="D40" s="41"/>
      <c r="E40" s="41"/>
      <c r="F40" s="41"/>
      <c r="G40" s="41"/>
      <c r="J40" s="41"/>
      <c r="K40" s="41"/>
      <c r="L40" s="41"/>
      <c r="M40" s="41"/>
      <c r="N40" s="41"/>
      <c r="O40" s="41"/>
      <c r="P40" s="41"/>
      <c r="S40" s="41"/>
      <c r="T40" s="41"/>
      <c r="U40" s="41"/>
      <c r="V40" s="41"/>
      <c r="W40" s="41"/>
      <c r="X40" s="41"/>
      <c r="Y40" s="41"/>
    </row>
    <row r="41" spans="1:27" x14ac:dyDescent="0.25">
      <c r="A41" s="41"/>
      <c r="B41" s="41"/>
      <c r="C41" s="41"/>
      <c r="D41" s="41"/>
      <c r="E41" s="41"/>
      <c r="F41" s="41"/>
      <c r="G41" s="41"/>
      <c r="J41" s="41"/>
      <c r="K41" s="41"/>
      <c r="L41" s="41"/>
      <c r="M41" s="41"/>
      <c r="N41" s="41"/>
      <c r="O41" s="41"/>
      <c r="P41" s="41"/>
      <c r="S41" s="41"/>
      <c r="T41" s="41"/>
      <c r="U41" s="41"/>
      <c r="V41" s="41"/>
      <c r="W41" s="41"/>
      <c r="X41" s="41"/>
      <c r="Y41" s="41"/>
    </row>
    <row r="44" spans="1:27" x14ac:dyDescent="0.25">
      <c r="A44" s="16" t="s">
        <v>8</v>
      </c>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x14ac:dyDescent="0.25">
      <c r="A45" t="s">
        <v>2</v>
      </c>
      <c r="B45" t="s">
        <v>46</v>
      </c>
      <c r="C45" t="s">
        <v>47</v>
      </c>
      <c r="D45" t="s">
        <v>48</v>
      </c>
      <c r="J45" t="s">
        <v>3</v>
      </c>
      <c r="K45" t="s">
        <v>46</v>
      </c>
      <c r="L45" t="s">
        <v>47</v>
      </c>
      <c r="M45" t="s">
        <v>48</v>
      </c>
      <c r="S45" t="s">
        <v>4</v>
      </c>
      <c r="T45" t="s">
        <v>46</v>
      </c>
      <c r="U45" t="s">
        <v>47</v>
      </c>
      <c r="V45" t="s">
        <v>48</v>
      </c>
    </row>
    <row r="46" spans="1:27" x14ac:dyDescent="0.25">
      <c r="A46" t="s">
        <v>44</v>
      </c>
      <c r="B46" s="13"/>
      <c r="C46" s="13"/>
      <c r="D46" s="13"/>
      <c r="J46" t="s">
        <v>44</v>
      </c>
      <c r="K46" s="13"/>
      <c r="L46" s="13"/>
      <c r="M46" s="13"/>
      <c r="S46" t="s">
        <v>44</v>
      </c>
      <c r="T46" s="13"/>
      <c r="U46" s="13"/>
      <c r="V46" s="13"/>
    </row>
    <row r="47" spans="1:27" x14ac:dyDescent="0.25">
      <c r="A47" t="s">
        <v>62</v>
      </c>
      <c r="B47" s="12"/>
      <c r="C47" s="12"/>
      <c r="D47" s="12"/>
      <c r="J47" t="s">
        <v>62</v>
      </c>
      <c r="K47" s="12"/>
      <c r="L47" s="12"/>
      <c r="M47" s="12"/>
      <c r="S47" t="s">
        <v>62</v>
      </c>
      <c r="T47" s="12"/>
      <c r="U47" s="12"/>
      <c r="V47" s="12"/>
    </row>
    <row r="48" spans="1:27" x14ac:dyDescent="0.25">
      <c r="A48" t="s">
        <v>61</v>
      </c>
      <c r="B48" s="12"/>
      <c r="C48" s="12"/>
      <c r="D48" s="12"/>
      <c r="J48" t="s">
        <v>61</v>
      </c>
      <c r="K48" s="12"/>
      <c r="L48" s="12"/>
      <c r="M48" s="12"/>
      <c r="S48" t="s">
        <v>61</v>
      </c>
      <c r="T48" s="12"/>
      <c r="U48" s="12"/>
      <c r="V48" s="12"/>
    </row>
    <row r="49" spans="1:25" x14ac:dyDescent="0.25">
      <c r="A49" t="s">
        <v>120</v>
      </c>
      <c r="B49" s="12"/>
      <c r="C49" s="12"/>
      <c r="D49" s="12"/>
      <c r="J49" t="s">
        <v>120</v>
      </c>
      <c r="K49" s="12"/>
      <c r="L49" s="12"/>
      <c r="M49" s="12"/>
      <c r="S49" t="s">
        <v>120</v>
      </c>
      <c r="T49" s="12"/>
      <c r="U49" s="12"/>
      <c r="V49" s="12"/>
    </row>
    <row r="50" spans="1:25" x14ac:dyDescent="0.25">
      <c r="A50" t="s">
        <v>64</v>
      </c>
      <c r="B50" s="47"/>
      <c r="C50" s="47"/>
      <c r="D50" s="47"/>
      <c r="J50" t="s">
        <v>64</v>
      </c>
      <c r="K50" s="47"/>
      <c r="L50" s="47"/>
      <c r="M50" s="47"/>
      <c r="S50" t="s">
        <v>64</v>
      </c>
      <c r="T50" s="47"/>
      <c r="U50" s="47"/>
      <c r="V50" s="47"/>
    </row>
    <row r="51" spans="1:25" x14ac:dyDescent="0.25">
      <c r="A51" t="s">
        <v>267</v>
      </c>
      <c r="B51" s="20"/>
      <c r="C51" s="12"/>
      <c r="D51" s="12"/>
      <c r="J51" t="s">
        <v>267</v>
      </c>
      <c r="K51" s="20"/>
      <c r="L51" s="12"/>
      <c r="M51" s="12"/>
      <c r="S51" t="s">
        <v>267</v>
      </c>
      <c r="T51" s="20"/>
      <c r="U51" s="12"/>
      <c r="V51" s="12"/>
    </row>
    <row r="52" spans="1:25" x14ac:dyDescent="0.25">
      <c r="A52" t="s">
        <v>268</v>
      </c>
      <c r="B52" s="20"/>
      <c r="C52" s="12"/>
      <c r="D52" s="12"/>
      <c r="J52" t="s">
        <v>268</v>
      </c>
      <c r="K52" s="20"/>
      <c r="L52" s="12"/>
      <c r="M52" s="12"/>
      <c r="S52" t="s">
        <v>268</v>
      </c>
      <c r="T52" s="20"/>
      <c r="U52" s="12"/>
      <c r="V52" s="12"/>
    </row>
    <row r="53" spans="1:25" x14ac:dyDescent="0.25">
      <c r="A53" t="s">
        <v>269</v>
      </c>
      <c r="B53" s="20"/>
      <c r="C53" s="12"/>
      <c r="D53" s="12"/>
      <c r="J53" t="s">
        <v>269</v>
      </c>
      <c r="K53" s="20"/>
      <c r="L53" s="12"/>
      <c r="M53" s="12"/>
      <c r="S53" t="s">
        <v>269</v>
      </c>
      <c r="T53" s="20"/>
      <c r="U53" s="12"/>
      <c r="V53" s="12"/>
    </row>
    <row r="54" spans="1:25" x14ac:dyDescent="0.25">
      <c r="A54" t="s">
        <v>287</v>
      </c>
      <c r="B54" s="20"/>
      <c r="C54" s="12"/>
      <c r="D54" s="12"/>
      <c r="J54" t="s">
        <v>287</v>
      </c>
      <c r="K54" s="20"/>
      <c r="L54" s="12"/>
      <c r="M54" s="12"/>
      <c r="S54" t="s">
        <v>287</v>
      </c>
      <c r="T54" s="20"/>
      <c r="U54" s="12"/>
      <c r="V54" s="12"/>
    </row>
    <row r="55" spans="1:25" x14ac:dyDescent="0.25">
      <c r="A55" t="s">
        <v>45</v>
      </c>
      <c r="B55" s="12"/>
      <c r="C55" s="3"/>
      <c r="D55" s="3"/>
      <c r="J55" t="s">
        <v>45</v>
      </c>
      <c r="K55" s="12"/>
      <c r="L55" s="3"/>
      <c r="M55" s="3"/>
      <c r="S55" t="s">
        <v>45</v>
      </c>
      <c r="T55" s="12"/>
      <c r="U55" s="3"/>
      <c r="V55" s="3"/>
    </row>
    <row r="56" spans="1:25" x14ac:dyDescent="0.25">
      <c r="A56" t="s">
        <v>49</v>
      </c>
      <c r="J56" t="s">
        <v>49</v>
      </c>
      <c r="S56" t="s">
        <v>49</v>
      </c>
    </row>
    <row r="57" spans="1:25" x14ac:dyDescent="0.25">
      <c r="A57" s="41"/>
      <c r="B57" s="41"/>
      <c r="C57" s="41"/>
      <c r="D57" s="41"/>
      <c r="E57" s="41"/>
      <c r="F57" s="41"/>
      <c r="G57" s="41"/>
      <c r="J57" s="41"/>
      <c r="K57" s="41"/>
      <c r="L57" s="41"/>
      <c r="M57" s="41"/>
      <c r="N57" s="41"/>
      <c r="O57" s="41"/>
      <c r="P57" s="41"/>
      <c r="S57" s="41"/>
      <c r="T57" s="41"/>
      <c r="U57" s="41"/>
      <c r="V57" s="41"/>
      <c r="W57" s="41"/>
      <c r="X57" s="41"/>
      <c r="Y57" s="41"/>
    </row>
    <row r="58" spans="1:25" x14ac:dyDescent="0.25">
      <c r="A58" s="41"/>
      <c r="B58" s="41"/>
      <c r="C58" s="41"/>
      <c r="D58" s="41"/>
      <c r="E58" s="41"/>
      <c r="F58" s="41"/>
      <c r="G58" s="41"/>
      <c r="J58" s="41"/>
      <c r="K58" s="41"/>
      <c r="L58" s="41"/>
      <c r="M58" s="41"/>
      <c r="N58" s="41"/>
      <c r="O58" s="41"/>
      <c r="P58" s="41"/>
      <c r="S58" s="41"/>
      <c r="T58" s="41"/>
      <c r="U58" s="41"/>
      <c r="V58" s="41"/>
      <c r="W58" s="41"/>
      <c r="X58" s="41"/>
      <c r="Y58" s="41"/>
    </row>
    <row r="59" spans="1:25" x14ac:dyDescent="0.25">
      <c r="A59" s="41"/>
      <c r="B59" s="41"/>
      <c r="C59" s="41"/>
      <c r="D59" s="41"/>
      <c r="E59" s="41"/>
      <c r="F59" s="41"/>
      <c r="G59" s="41"/>
      <c r="J59" s="41"/>
      <c r="K59" s="41"/>
      <c r="L59" s="41"/>
      <c r="M59" s="41"/>
      <c r="N59" s="41"/>
      <c r="O59" s="41"/>
      <c r="P59" s="41"/>
      <c r="S59" s="41"/>
      <c r="T59" s="41"/>
      <c r="U59" s="41"/>
      <c r="V59" s="41"/>
      <c r="W59" s="41"/>
      <c r="X59" s="41"/>
      <c r="Y59" s="41"/>
    </row>
    <row r="60" spans="1:25" x14ac:dyDescent="0.25">
      <c r="A60" s="41"/>
      <c r="B60" s="41"/>
      <c r="C60" s="41"/>
      <c r="D60" s="41"/>
      <c r="E60" s="41"/>
      <c r="F60" s="41"/>
      <c r="G60" s="41"/>
      <c r="J60" s="41"/>
      <c r="K60" s="41"/>
      <c r="L60" s="41"/>
      <c r="M60" s="41"/>
      <c r="N60" s="41"/>
      <c r="O60" s="41"/>
      <c r="P60" s="41"/>
      <c r="S60" s="41"/>
      <c r="T60" s="41"/>
      <c r="U60" s="41"/>
      <c r="V60" s="41"/>
      <c r="W60" s="41"/>
      <c r="X60" s="41"/>
      <c r="Y60" s="41"/>
    </row>
    <row r="61" spans="1:25" x14ac:dyDescent="0.25">
      <c r="A61" s="41"/>
      <c r="B61" s="41"/>
      <c r="C61" s="41"/>
      <c r="D61" s="41"/>
      <c r="E61" s="41"/>
      <c r="F61" s="41"/>
      <c r="G61" s="41"/>
      <c r="J61" s="41"/>
      <c r="K61" s="41"/>
      <c r="L61" s="41"/>
      <c r="M61" s="41"/>
      <c r="N61" s="41"/>
      <c r="O61" s="41"/>
      <c r="P61" s="41"/>
      <c r="S61" s="41"/>
      <c r="T61" s="41"/>
      <c r="U61" s="41"/>
      <c r="V61" s="41"/>
      <c r="W61" s="41"/>
      <c r="X61" s="41"/>
      <c r="Y61" s="41"/>
    </row>
    <row r="62" spans="1:25" x14ac:dyDescent="0.25">
      <c r="A62" s="41"/>
      <c r="B62" s="41"/>
      <c r="C62" s="41"/>
      <c r="D62" s="41"/>
      <c r="E62" s="41"/>
      <c r="F62" s="41"/>
      <c r="G62" s="41"/>
      <c r="J62" s="41"/>
      <c r="K62" s="41"/>
      <c r="L62" s="41"/>
      <c r="M62" s="41"/>
      <c r="N62" s="41"/>
      <c r="O62" s="41"/>
      <c r="P62" s="41"/>
      <c r="S62" s="41"/>
      <c r="T62" s="41"/>
      <c r="U62" s="41"/>
      <c r="V62" s="41"/>
      <c r="W62" s="41"/>
      <c r="X62" s="41"/>
      <c r="Y62" s="41"/>
    </row>
    <row r="65" spans="1:27" x14ac:dyDescent="0.25">
      <c r="A65" s="17" t="s">
        <v>9</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spans="1:27" x14ac:dyDescent="0.25">
      <c r="A66" t="s">
        <v>2</v>
      </c>
      <c r="B66" t="s">
        <v>46</v>
      </c>
      <c r="C66" t="s">
        <v>47</v>
      </c>
      <c r="D66" t="s">
        <v>48</v>
      </c>
      <c r="J66" t="s">
        <v>3</v>
      </c>
      <c r="K66" t="s">
        <v>46</v>
      </c>
      <c r="L66" t="s">
        <v>47</v>
      </c>
      <c r="M66" t="s">
        <v>48</v>
      </c>
      <c r="S66" t="s">
        <v>4</v>
      </c>
      <c r="T66" t="s">
        <v>46</v>
      </c>
      <c r="U66" t="s">
        <v>47</v>
      </c>
      <c r="V66" t="s">
        <v>48</v>
      </c>
    </row>
    <row r="67" spans="1:27" x14ac:dyDescent="0.25">
      <c r="A67" t="s">
        <v>27</v>
      </c>
      <c r="J67" t="s">
        <v>27</v>
      </c>
      <c r="S67" t="s">
        <v>27</v>
      </c>
    </row>
    <row r="68" spans="1:27" x14ac:dyDescent="0.25">
      <c r="A68" t="s">
        <v>44</v>
      </c>
      <c r="J68" t="s">
        <v>44</v>
      </c>
      <c r="S68" t="s">
        <v>44</v>
      </c>
    </row>
    <row r="69" spans="1:27" x14ac:dyDescent="0.25">
      <c r="A69" t="s">
        <v>62</v>
      </c>
      <c r="J69" t="s">
        <v>62</v>
      </c>
      <c r="S69" t="s">
        <v>62</v>
      </c>
    </row>
    <row r="70" spans="1:27" x14ac:dyDescent="0.25">
      <c r="A70" t="s">
        <v>61</v>
      </c>
      <c r="J70" t="s">
        <v>61</v>
      </c>
      <c r="S70" t="s">
        <v>61</v>
      </c>
    </row>
    <row r="71" spans="1:27" x14ac:dyDescent="0.25">
      <c r="A71" t="s">
        <v>63</v>
      </c>
      <c r="J71" t="s">
        <v>63</v>
      </c>
      <c r="S71" t="s">
        <v>63</v>
      </c>
    </row>
    <row r="72" spans="1:27" x14ac:dyDescent="0.25">
      <c r="A72" t="s">
        <v>64</v>
      </c>
      <c r="J72" t="s">
        <v>64</v>
      </c>
      <c r="S72" t="s">
        <v>64</v>
      </c>
    </row>
    <row r="73" spans="1:27" x14ac:dyDescent="0.25">
      <c r="A73" t="s">
        <v>65</v>
      </c>
      <c r="B73" s="18"/>
      <c r="C73" s="18"/>
      <c r="J73" t="s">
        <v>65</v>
      </c>
      <c r="K73" s="18"/>
      <c r="L73" s="18"/>
      <c r="S73" t="s">
        <v>65</v>
      </c>
      <c r="T73" s="18"/>
      <c r="U73" s="18"/>
    </row>
    <row r="74" spans="1:27" x14ac:dyDescent="0.25">
      <c r="A74" t="s">
        <v>66</v>
      </c>
      <c r="B74" s="18"/>
      <c r="C74" s="18"/>
      <c r="J74" t="s">
        <v>66</v>
      </c>
      <c r="K74" s="18"/>
      <c r="L74" s="18"/>
      <c r="S74" t="s">
        <v>66</v>
      </c>
      <c r="T74" s="18"/>
      <c r="U74" s="18"/>
    </row>
    <row r="75" spans="1:27" x14ac:dyDescent="0.25">
      <c r="A75" t="s">
        <v>67</v>
      </c>
      <c r="B75" s="18"/>
      <c r="C75" s="18"/>
      <c r="J75" t="s">
        <v>67</v>
      </c>
      <c r="K75" s="18"/>
      <c r="L75" s="18"/>
      <c r="S75" t="s">
        <v>67</v>
      </c>
      <c r="T75" s="18"/>
      <c r="U75" s="18"/>
    </row>
    <row r="76" spans="1:27" x14ac:dyDescent="0.25">
      <c r="A76" t="s">
        <v>45</v>
      </c>
      <c r="J76" t="s">
        <v>45</v>
      </c>
      <c r="S76" t="s">
        <v>45</v>
      </c>
    </row>
    <row r="77" spans="1:27" x14ac:dyDescent="0.25">
      <c r="A77" t="s">
        <v>49</v>
      </c>
      <c r="J77" t="s">
        <v>49</v>
      </c>
      <c r="S77" t="s">
        <v>49</v>
      </c>
    </row>
    <row r="78" spans="1:27" x14ac:dyDescent="0.25">
      <c r="A78" s="41"/>
      <c r="B78" s="41"/>
      <c r="C78" s="41"/>
      <c r="D78" s="41"/>
      <c r="E78" s="41"/>
      <c r="F78" s="41"/>
      <c r="G78" s="41"/>
      <c r="J78" s="41"/>
      <c r="K78" s="41"/>
      <c r="L78" s="41"/>
      <c r="M78" s="41"/>
      <c r="N78" s="41"/>
      <c r="O78" s="41"/>
      <c r="P78" s="41"/>
      <c r="S78" s="41"/>
      <c r="T78" s="41"/>
      <c r="U78" s="41"/>
      <c r="V78" s="41"/>
      <c r="W78" s="41"/>
      <c r="X78" s="41"/>
      <c r="Y78" s="41"/>
    </row>
    <row r="79" spans="1:27" x14ac:dyDescent="0.25">
      <c r="A79" s="41"/>
      <c r="B79" s="41"/>
      <c r="C79" s="41"/>
      <c r="D79" s="41"/>
      <c r="E79" s="41"/>
      <c r="F79" s="41"/>
      <c r="G79" s="41"/>
      <c r="J79" s="41"/>
      <c r="K79" s="41"/>
      <c r="L79" s="41"/>
      <c r="M79" s="41"/>
      <c r="N79" s="41"/>
      <c r="O79" s="41"/>
      <c r="P79" s="41"/>
      <c r="S79" s="41"/>
      <c r="T79" s="41"/>
      <c r="U79" s="41"/>
      <c r="V79" s="41"/>
      <c r="W79" s="41"/>
      <c r="X79" s="41"/>
      <c r="Y79" s="41"/>
    </row>
    <row r="80" spans="1:27" x14ac:dyDescent="0.25">
      <c r="A80" s="41"/>
      <c r="B80" s="41"/>
      <c r="C80" s="41"/>
      <c r="D80" s="41"/>
      <c r="E80" s="41"/>
      <c r="F80" s="41"/>
      <c r="G80" s="41"/>
      <c r="J80" s="41"/>
      <c r="K80" s="41"/>
      <c r="L80" s="41"/>
      <c r="M80" s="41"/>
      <c r="N80" s="41"/>
      <c r="O80" s="41"/>
      <c r="P80" s="41"/>
      <c r="S80" s="41"/>
      <c r="T80" s="41"/>
      <c r="U80" s="41"/>
      <c r="V80" s="41"/>
      <c r="W80" s="41"/>
      <c r="X80" s="41"/>
      <c r="Y80" s="41"/>
    </row>
    <row r="81" spans="1:25" x14ac:dyDescent="0.25">
      <c r="A81" s="41"/>
      <c r="B81" s="41"/>
      <c r="C81" s="41"/>
      <c r="D81" s="41"/>
      <c r="E81" s="41"/>
      <c r="F81" s="41"/>
      <c r="G81" s="41"/>
      <c r="J81" s="41"/>
      <c r="K81" s="41"/>
      <c r="L81" s="41"/>
      <c r="M81" s="41"/>
      <c r="N81" s="41"/>
      <c r="O81" s="41"/>
      <c r="P81" s="41"/>
      <c r="S81" s="41"/>
      <c r="T81" s="41"/>
      <c r="U81" s="41"/>
      <c r="V81" s="41"/>
      <c r="W81" s="41"/>
      <c r="X81" s="41"/>
      <c r="Y81" s="41"/>
    </row>
    <row r="82" spans="1:25" x14ac:dyDescent="0.25">
      <c r="A82" s="41"/>
      <c r="B82" s="41"/>
      <c r="C82" s="41"/>
      <c r="D82" s="41"/>
      <c r="E82" s="41"/>
      <c r="F82" s="41"/>
      <c r="G82" s="41"/>
      <c r="J82" s="41"/>
      <c r="K82" s="41"/>
      <c r="L82" s="41"/>
      <c r="M82" s="41"/>
      <c r="N82" s="41"/>
      <c r="O82" s="41"/>
      <c r="P82" s="41"/>
      <c r="S82" s="41"/>
      <c r="T82" s="41"/>
      <c r="U82" s="41"/>
      <c r="V82" s="41"/>
      <c r="W82" s="41"/>
      <c r="X82" s="41"/>
      <c r="Y82" s="41"/>
    </row>
    <row r="83" spans="1:25" x14ac:dyDescent="0.25">
      <c r="A83" s="41"/>
      <c r="B83" s="41"/>
      <c r="C83" s="41"/>
      <c r="D83" s="41"/>
      <c r="E83" s="41"/>
      <c r="F83" s="41"/>
      <c r="G83" s="41"/>
      <c r="J83" s="41"/>
      <c r="K83" s="41"/>
      <c r="L83" s="41"/>
      <c r="M83" s="41"/>
      <c r="N83" s="41"/>
      <c r="O83" s="41"/>
      <c r="P83" s="41"/>
      <c r="S83" s="41"/>
      <c r="T83" s="41"/>
      <c r="U83" s="41"/>
      <c r="V83" s="41"/>
      <c r="W83" s="41"/>
      <c r="X83" s="41"/>
      <c r="Y83" s="41"/>
    </row>
  </sheetData>
  <mergeCells count="22">
    <mergeCell ref="A78:G83"/>
    <mergeCell ref="J78:P83"/>
    <mergeCell ref="S78:Y83"/>
    <mergeCell ref="A1:K1"/>
    <mergeCell ref="A15:G20"/>
    <mergeCell ref="J15:P20"/>
    <mergeCell ref="S15:Y20"/>
    <mergeCell ref="A36:G41"/>
    <mergeCell ref="J36:P41"/>
    <mergeCell ref="S36:Y41"/>
    <mergeCell ref="B8:D8"/>
    <mergeCell ref="K8:M8"/>
    <mergeCell ref="T8:V8"/>
    <mergeCell ref="B29:D29"/>
    <mergeCell ref="K29:M29"/>
    <mergeCell ref="T29:V29"/>
    <mergeCell ref="B50:D50"/>
    <mergeCell ref="K50:M50"/>
    <mergeCell ref="T50:V50"/>
    <mergeCell ref="A57:G62"/>
    <mergeCell ref="J57:P62"/>
    <mergeCell ref="S57:Y6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05562-15B7-4CA8-8CDC-2BD40CFF3AC9}">
  <dimension ref="A1:AA83"/>
  <sheetViews>
    <sheetView topLeftCell="A4" zoomScaleNormal="85" workbookViewId="0">
      <selection activeCell="A8" sqref="A8"/>
    </sheetView>
  </sheetViews>
  <sheetFormatPr defaultRowHeight="15" x14ac:dyDescent="0.25"/>
  <cols>
    <col min="1" max="1" width="26.28515625" bestFit="1" customWidth="1"/>
    <col min="3" max="3" width="11" bestFit="1" customWidth="1"/>
    <col min="10" max="10" width="26.42578125" bestFit="1" customWidth="1"/>
    <col min="12" max="12" width="10.140625" bestFit="1" customWidth="1"/>
    <col min="13" max="13" width="9.7109375" bestFit="1" customWidth="1"/>
    <col min="19" max="19" width="26.42578125" bestFit="1" customWidth="1"/>
    <col min="20" max="20" width="13.28515625" bestFit="1" customWidth="1"/>
    <col min="22" max="22" width="11" bestFit="1" customWidth="1"/>
  </cols>
  <sheetData>
    <row r="1" spans="1:25" x14ac:dyDescent="0.25">
      <c r="A1" s="41" t="s">
        <v>60</v>
      </c>
      <c r="B1" s="41"/>
      <c r="C1" s="41"/>
      <c r="D1" s="41"/>
      <c r="E1" s="41"/>
      <c r="F1" s="41"/>
      <c r="G1" s="41"/>
      <c r="H1" s="41"/>
      <c r="I1" s="41"/>
      <c r="J1" s="41"/>
      <c r="K1" s="41"/>
    </row>
    <row r="2" spans="1:25" s="14" customFormat="1" x14ac:dyDescent="0.25">
      <c r="A2" s="14" t="s">
        <v>6</v>
      </c>
    </row>
    <row r="3" spans="1:25" x14ac:dyDescent="0.25">
      <c r="A3" s="21" t="s">
        <v>2</v>
      </c>
      <c r="B3" t="s">
        <v>46</v>
      </c>
      <c r="C3" t="s">
        <v>47</v>
      </c>
      <c r="D3" t="s">
        <v>48</v>
      </c>
      <c r="J3" s="29" t="s">
        <v>3</v>
      </c>
      <c r="K3" t="s">
        <v>46</v>
      </c>
      <c r="L3" t="s">
        <v>47</v>
      </c>
      <c r="M3" t="s">
        <v>48</v>
      </c>
      <c r="S3" s="29" t="s">
        <v>4</v>
      </c>
      <c r="T3" t="s">
        <v>46</v>
      </c>
      <c r="U3" t="s">
        <v>47</v>
      </c>
      <c r="V3" t="s">
        <v>48</v>
      </c>
    </row>
    <row r="4" spans="1:25" x14ac:dyDescent="0.25">
      <c r="A4" t="s">
        <v>27</v>
      </c>
      <c r="B4" s="24" t="s">
        <v>11</v>
      </c>
      <c r="C4" s="24" t="s">
        <v>11</v>
      </c>
      <c r="D4" s="24" t="s">
        <v>11</v>
      </c>
      <c r="J4" t="s">
        <v>27</v>
      </c>
      <c r="K4" s="3" t="s">
        <v>11</v>
      </c>
      <c r="L4" s="3" t="s">
        <v>11</v>
      </c>
      <c r="M4" s="3" t="s">
        <v>11</v>
      </c>
      <c r="S4" t="s">
        <v>27</v>
      </c>
      <c r="T4" s="3" t="s">
        <v>11</v>
      </c>
      <c r="U4" s="3" t="s">
        <v>11</v>
      </c>
      <c r="V4" s="3" t="s">
        <v>11</v>
      </c>
    </row>
    <row r="5" spans="1:25" x14ac:dyDescent="0.25">
      <c r="A5" t="s">
        <v>44</v>
      </c>
      <c r="B5" s="25" t="s">
        <v>50</v>
      </c>
      <c r="C5" s="25" t="s">
        <v>51</v>
      </c>
      <c r="D5" s="25" t="s">
        <v>52</v>
      </c>
      <c r="J5" t="s">
        <v>44</v>
      </c>
      <c r="K5" s="30">
        <v>0.96</v>
      </c>
      <c r="L5" s="32">
        <v>0.88</v>
      </c>
      <c r="M5" s="32">
        <v>0.76</v>
      </c>
      <c r="S5" t="s">
        <v>44</v>
      </c>
      <c r="T5" s="30">
        <v>0.96</v>
      </c>
      <c r="U5" s="34">
        <v>0.63</v>
      </c>
      <c r="V5" s="13">
        <v>0.85</v>
      </c>
    </row>
    <row r="6" spans="1:25" ht="40.5" x14ac:dyDescent="0.25">
      <c r="A6" s="19" t="s">
        <v>62</v>
      </c>
      <c r="B6" s="26" t="s">
        <v>69</v>
      </c>
      <c r="C6" s="22" t="s">
        <v>70</v>
      </c>
      <c r="D6" s="28" t="s">
        <v>68</v>
      </c>
      <c r="J6" s="19" t="s">
        <v>62</v>
      </c>
      <c r="K6" s="30">
        <v>0.97</v>
      </c>
      <c r="L6" s="32" t="s">
        <v>82</v>
      </c>
      <c r="M6" s="32" t="s">
        <v>83</v>
      </c>
      <c r="S6" s="12" t="s">
        <v>62</v>
      </c>
      <c r="T6" s="12" t="s">
        <v>90</v>
      </c>
      <c r="U6" s="12" t="s">
        <v>91</v>
      </c>
      <c r="V6" s="12" t="s">
        <v>92</v>
      </c>
    </row>
    <row r="7" spans="1:25" ht="30.75" customHeight="1" x14ac:dyDescent="0.25">
      <c r="A7" s="19" t="s">
        <v>61</v>
      </c>
      <c r="B7" s="28" t="s">
        <v>71</v>
      </c>
      <c r="C7" s="23" t="s">
        <v>72</v>
      </c>
      <c r="D7" s="28" t="s">
        <v>73</v>
      </c>
      <c r="J7" s="19" t="s">
        <v>61</v>
      </c>
      <c r="K7" s="32" t="s">
        <v>84</v>
      </c>
      <c r="L7" s="31" t="s">
        <v>85</v>
      </c>
      <c r="M7" s="19" t="s">
        <v>86</v>
      </c>
      <c r="N7" s="30"/>
      <c r="S7" s="12" t="s">
        <v>61</v>
      </c>
      <c r="T7" s="12" t="s">
        <v>93</v>
      </c>
      <c r="U7" s="12" t="s">
        <v>94</v>
      </c>
      <c r="V7" s="12" t="s">
        <v>95</v>
      </c>
    </row>
    <row r="8" spans="1:25" x14ac:dyDescent="0.25">
      <c r="A8" t="s">
        <v>120</v>
      </c>
      <c r="B8" s="22" t="s">
        <v>170</v>
      </c>
      <c r="C8" s="22" t="s">
        <v>171</v>
      </c>
      <c r="D8" s="22" t="s">
        <v>172</v>
      </c>
      <c r="J8" t="s">
        <v>120</v>
      </c>
      <c r="K8" s="12" t="s">
        <v>173</v>
      </c>
      <c r="L8" s="12" t="s">
        <v>174</v>
      </c>
      <c r="M8" s="12" t="s">
        <v>175</v>
      </c>
      <c r="S8" t="s">
        <v>120</v>
      </c>
      <c r="T8" s="12" t="s">
        <v>176</v>
      </c>
      <c r="U8" s="12" t="s">
        <v>177</v>
      </c>
      <c r="V8" s="12" t="s">
        <v>178</v>
      </c>
    </row>
    <row r="9" spans="1:25" ht="42.75" customHeight="1" x14ac:dyDescent="0.25">
      <c r="A9" t="s">
        <v>64</v>
      </c>
      <c r="B9" s="22" t="s">
        <v>76</v>
      </c>
      <c r="C9" s="22" t="s">
        <v>75</v>
      </c>
      <c r="D9" s="22" t="s">
        <v>74</v>
      </c>
      <c r="J9" s="19" t="s">
        <v>64</v>
      </c>
      <c r="K9" s="49" t="s">
        <v>87</v>
      </c>
      <c r="L9" s="49"/>
      <c r="M9" s="49"/>
      <c r="S9" s="19" t="s">
        <v>64</v>
      </c>
      <c r="T9" s="47" t="s">
        <v>96</v>
      </c>
      <c r="U9" s="47"/>
      <c r="V9" s="47"/>
    </row>
    <row r="10" spans="1:25" x14ac:dyDescent="0.25">
      <c r="A10" t="s">
        <v>65</v>
      </c>
      <c r="B10" s="27"/>
      <c r="C10" s="22" t="s">
        <v>78</v>
      </c>
      <c r="D10" s="12" t="s">
        <v>77</v>
      </c>
      <c r="J10" t="s">
        <v>65</v>
      </c>
      <c r="K10" s="20"/>
      <c r="L10" s="13">
        <v>0</v>
      </c>
      <c r="M10" s="13">
        <v>0.4</v>
      </c>
      <c r="S10" t="s">
        <v>65</v>
      </c>
      <c r="T10" s="20"/>
      <c r="U10" s="13">
        <v>0.6</v>
      </c>
      <c r="V10" s="13">
        <v>0.45</v>
      </c>
    </row>
    <row r="11" spans="1:25" x14ac:dyDescent="0.25">
      <c r="A11" t="s">
        <v>66</v>
      </c>
      <c r="B11" s="27"/>
      <c r="C11" s="22" t="s">
        <v>79</v>
      </c>
      <c r="D11" s="12">
        <v>0</v>
      </c>
      <c r="J11" t="s">
        <v>66</v>
      </c>
      <c r="K11" s="20"/>
      <c r="L11" s="13">
        <v>0.05</v>
      </c>
      <c r="M11" s="12" t="s">
        <v>88</v>
      </c>
      <c r="S11" t="s">
        <v>66</v>
      </c>
      <c r="T11" s="20"/>
      <c r="U11" s="13">
        <v>0</v>
      </c>
      <c r="V11" s="13">
        <v>0</v>
      </c>
      <c r="W11" t="s">
        <v>97</v>
      </c>
    </row>
    <row r="12" spans="1:25" x14ac:dyDescent="0.25">
      <c r="A12" t="s">
        <v>67</v>
      </c>
      <c r="B12" s="27"/>
      <c r="C12" s="22">
        <v>0</v>
      </c>
      <c r="D12" s="12">
        <v>0</v>
      </c>
      <c r="J12" t="s">
        <v>67</v>
      </c>
      <c r="K12" s="20"/>
      <c r="L12" s="13">
        <v>0</v>
      </c>
      <c r="M12" s="13">
        <v>0</v>
      </c>
      <c r="S12" t="s">
        <v>67</v>
      </c>
      <c r="T12" s="20"/>
      <c r="U12" s="13">
        <v>0</v>
      </c>
      <c r="V12" s="13">
        <v>0</v>
      </c>
    </row>
    <row r="13" spans="1:25" x14ac:dyDescent="0.25">
      <c r="A13" t="s">
        <v>45</v>
      </c>
      <c r="B13" s="22"/>
      <c r="C13" s="24" t="s">
        <v>11</v>
      </c>
      <c r="D13" s="24" t="s">
        <v>11</v>
      </c>
      <c r="J13" t="s">
        <v>45</v>
      </c>
      <c r="K13" s="12"/>
      <c r="L13" s="3" t="s">
        <v>11</v>
      </c>
      <c r="M13" s="3" t="s">
        <v>11</v>
      </c>
      <c r="S13" t="s">
        <v>45</v>
      </c>
      <c r="T13" s="12"/>
      <c r="U13" s="3" t="s">
        <v>11</v>
      </c>
      <c r="V13" s="3" t="s">
        <v>11</v>
      </c>
    </row>
    <row r="14" spans="1:25" x14ac:dyDescent="0.25">
      <c r="A14" s="41" t="s">
        <v>49</v>
      </c>
      <c r="B14" s="41"/>
      <c r="C14" s="41"/>
      <c r="D14" s="41"/>
      <c r="E14" s="41"/>
      <c r="F14" s="41"/>
      <c r="G14" s="41"/>
      <c r="J14" t="s">
        <v>49</v>
      </c>
      <c r="S14" t="s">
        <v>49</v>
      </c>
    </row>
    <row r="15" spans="1:25" x14ac:dyDescent="0.25">
      <c r="A15" s="46" t="s">
        <v>80</v>
      </c>
      <c r="B15" s="46"/>
      <c r="C15" s="46"/>
      <c r="D15" s="46"/>
      <c r="E15" s="46"/>
      <c r="F15" s="46"/>
      <c r="G15" s="46"/>
      <c r="J15" s="46" t="s">
        <v>81</v>
      </c>
      <c r="K15" s="46"/>
      <c r="L15" s="46"/>
      <c r="M15" s="46"/>
      <c r="N15" s="46"/>
      <c r="O15" s="46"/>
      <c r="P15" s="46"/>
      <c r="S15" s="46" t="s">
        <v>89</v>
      </c>
      <c r="T15" s="46"/>
      <c r="U15" s="46"/>
      <c r="V15" s="46"/>
      <c r="W15" s="46"/>
      <c r="X15" s="46"/>
      <c r="Y15" s="46"/>
    </row>
    <row r="16" spans="1:25" x14ac:dyDescent="0.25">
      <c r="A16" s="46"/>
      <c r="B16" s="46"/>
      <c r="C16" s="46"/>
      <c r="D16" s="46"/>
      <c r="E16" s="46"/>
      <c r="F16" s="46"/>
      <c r="G16" s="46"/>
      <c r="J16" s="46"/>
      <c r="K16" s="46"/>
      <c r="L16" s="46"/>
      <c r="M16" s="46"/>
      <c r="N16" s="46"/>
      <c r="O16" s="46"/>
      <c r="P16" s="46"/>
      <c r="S16" s="46"/>
      <c r="T16" s="46"/>
      <c r="U16" s="46"/>
      <c r="V16" s="46"/>
      <c r="W16" s="46"/>
      <c r="X16" s="46"/>
      <c r="Y16" s="46"/>
    </row>
    <row r="17" spans="1:27" x14ac:dyDescent="0.25">
      <c r="A17" s="46"/>
      <c r="B17" s="46"/>
      <c r="C17" s="46"/>
      <c r="D17" s="46"/>
      <c r="E17" s="46"/>
      <c r="F17" s="46"/>
      <c r="G17" s="46"/>
      <c r="J17" s="46"/>
      <c r="K17" s="46"/>
      <c r="L17" s="46"/>
      <c r="M17" s="46"/>
      <c r="N17" s="46"/>
      <c r="O17" s="46"/>
      <c r="P17" s="46"/>
      <c r="S17" s="46"/>
      <c r="T17" s="46"/>
      <c r="U17" s="46"/>
      <c r="V17" s="46"/>
      <c r="W17" s="46"/>
      <c r="X17" s="46"/>
      <c r="Y17" s="46"/>
    </row>
    <row r="18" spans="1:27" x14ac:dyDescent="0.25">
      <c r="A18" s="46"/>
      <c r="B18" s="46"/>
      <c r="C18" s="46"/>
      <c r="D18" s="46"/>
      <c r="E18" s="46"/>
      <c r="F18" s="46"/>
      <c r="G18" s="46"/>
      <c r="J18" s="46"/>
      <c r="K18" s="46"/>
      <c r="L18" s="46"/>
      <c r="M18" s="46"/>
      <c r="N18" s="46"/>
      <c r="O18" s="46"/>
      <c r="P18" s="46"/>
      <c r="S18" s="46"/>
      <c r="T18" s="46"/>
      <c r="U18" s="46"/>
      <c r="V18" s="46"/>
      <c r="W18" s="46"/>
      <c r="X18" s="46"/>
      <c r="Y18" s="46"/>
    </row>
    <row r="19" spans="1:27" x14ac:dyDescent="0.25">
      <c r="A19" s="46"/>
      <c r="B19" s="46"/>
      <c r="C19" s="46"/>
      <c r="D19" s="46"/>
      <c r="E19" s="46"/>
      <c r="F19" s="46"/>
      <c r="G19" s="46"/>
      <c r="J19" s="46"/>
      <c r="K19" s="46"/>
      <c r="L19" s="46"/>
      <c r="M19" s="46"/>
      <c r="N19" s="46"/>
      <c r="O19" s="46"/>
      <c r="P19" s="46"/>
      <c r="S19" s="46"/>
      <c r="T19" s="46"/>
      <c r="U19" s="46"/>
      <c r="V19" s="46"/>
      <c r="W19" s="46"/>
      <c r="X19" s="46"/>
      <c r="Y19" s="46"/>
    </row>
    <row r="20" spans="1:27" x14ac:dyDescent="0.25">
      <c r="A20" s="46"/>
      <c r="B20" s="46"/>
      <c r="C20" s="46"/>
      <c r="D20" s="46"/>
      <c r="E20" s="46"/>
      <c r="F20" s="46"/>
      <c r="G20" s="46"/>
      <c r="J20" s="46"/>
      <c r="K20" s="46"/>
      <c r="L20" s="46"/>
      <c r="M20" s="46"/>
      <c r="N20" s="46"/>
      <c r="O20" s="46"/>
      <c r="P20" s="46"/>
      <c r="S20" s="46"/>
      <c r="T20" s="46"/>
      <c r="U20" s="46"/>
      <c r="V20" s="46"/>
      <c r="W20" s="46"/>
      <c r="X20" s="46"/>
      <c r="Y20" s="46"/>
    </row>
    <row r="23" spans="1:27" x14ac:dyDescent="0.25">
      <c r="A23" s="15" t="s">
        <v>7</v>
      </c>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spans="1:27" x14ac:dyDescent="0.25">
      <c r="A24" s="21" t="s">
        <v>2</v>
      </c>
      <c r="B24" s="12" t="s">
        <v>46</v>
      </c>
      <c r="C24" s="12" t="s">
        <v>47</v>
      </c>
      <c r="D24" s="12" t="s">
        <v>48</v>
      </c>
      <c r="J24" s="21" t="s">
        <v>3</v>
      </c>
      <c r="K24" t="s">
        <v>46</v>
      </c>
      <c r="L24" t="s">
        <v>47</v>
      </c>
      <c r="M24" t="s">
        <v>48</v>
      </c>
      <c r="S24" s="21" t="s">
        <v>4</v>
      </c>
      <c r="T24" t="s">
        <v>46</v>
      </c>
      <c r="U24" t="s">
        <v>47</v>
      </c>
      <c r="V24" t="s">
        <v>48</v>
      </c>
    </row>
    <row r="25" spans="1:27" x14ac:dyDescent="0.25">
      <c r="A25" t="s">
        <v>27</v>
      </c>
      <c r="B25" s="3" t="s">
        <v>11</v>
      </c>
      <c r="C25" s="3" t="s">
        <v>11</v>
      </c>
      <c r="D25" s="3" t="s">
        <v>11</v>
      </c>
      <c r="J25" t="s">
        <v>27</v>
      </c>
      <c r="K25" s="3" t="s">
        <v>11</v>
      </c>
      <c r="L25" s="3" t="s">
        <v>11</v>
      </c>
      <c r="M25" s="3" t="s">
        <v>11</v>
      </c>
      <c r="S25" t="s">
        <v>27</v>
      </c>
      <c r="T25" s="3" t="s">
        <v>11</v>
      </c>
      <c r="U25" s="3" t="s">
        <v>11</v>
      </c>
      <c r="V25" s="3" t="s">
        <v>11</v>
      </c>
    </row>
    <row r="26" spans="1:27" x14ac:dyDescent="0.25">
      <c r="A26" t="s">
        <v>44</v>
      </c>
      <c r="B26" s="13">
        <v>0.92</v>
      </c>
      <c r="C26" s="13">
        <v>0.75</v>
      </c>
      <c r="D26" s="13">
        <v>0.9</v>
      </c>
      <c r="J26" t="s">
        <v>44</v>
      </c>
      <c r="K26" s="13">
        <v>0.98</v>
      </c>
      <c r="L26" s="13">
        <v>0.97</v>
      </c>
      <c r="M26" s="13">
        <v>0.92</v>
      </c>
      <c r="S26" t="s">
        <v>44</v>
      </c>
      <c r="T26" s="13">
        <v>0.97</v>
      </c>
      <c r="U26" s="13">
        <v>0.77</v>
      </c>
      <c r="V26" s="13">
        <v>0.62</v>
      </c>
    </row>
    <row r="27" spans="1:27" x14ac:dyDescent="0.25">
      <c r="A27" t="s">
        <v>62</v>
      </c>
      <c r="B27" s="12" t="s">
        <v>90</v>
      </c>
      <c r="C27" s="12" t="s">
        <v>99</v>
      </c>
      <c r="D27" s="12" t="s">
        <v>90</v>
      </c>
      <c r="J27" t="s">
        <v>62</v>
      </c>
      <c r="K27" s="12" t="s">
        <v>90</v>
      </c>
      <c r="L27" s="12" t="s">
        <v>90</v>
      </c>
      <c r="M27" s="12" t="s">
        <v>90</v>
      </c>
      <c r="S27" t="s">
        <v>62</v>
      </c>
      <c r="T27" s="12" t="s">
        <v>109</v>
      </c>
      <c r="U27" s="12" t="s">
        <v>111</v>
      </c>
      <c r="V27" s="12" t="s">
        <v>113</v>
      </c>
    </row>
    <row r="28" spans="1:27" x14ac:dyDescent="0.25">
      <c r="A28" t="s">
        <v>61</v>
      </c>
      <c r="B28" s="12" t="s">
        <v>98</v>
      </c>
      <c r="C28" s="12" t="s">
        <v>100</v>
      </c>
      <c r="D28" s="12" t="s">
        <v>101</v>
      </c>
      <c r="J28" t="s">
        <v>61</v>
      </c>
      <c r="K28" s="12" t="s">
        <v>104</v>
      </c>
      <c r="L28" s="12" t="s">
        <v>105</v>
      </c>
      <c r="M28" s="12" t="s">
        <v>106</v>
      </c>
      <c r="S28" t="s">
        <v>61</v>
      </c>
      <c r="T28" s="12" t="s">
        <v>110</v>
      </c>
      <c r="U28" s="12" t="s">
        <v>112</v>
      </c>
      <c r="V28" s="12" t="s">
        <v>114</v>
      </c>
    </row>
    <row r="29" spans="1:27" x14ac:dyDescent="0.25">
      <c r="A29" t="s">
        <v>120</v>
      </c>
      <c r="B29" s="12" t="s">
        <v>179</v>
      </c>
      <c r="C29" s="12" t="s">
        <v>180</v>
      </c>
      <c r="D29" s="12" t="s">
        <v>181</v>
      </c>
      <c r="J29" t="s">
        <v>120</v>
      </c>
      <c r="K29" s="12" t="s">
        <v>109</v>
      </c>
      <c r="L29" s="12" t="s">
        <v>90</v>
      </c>
      <c r="M29" s="12" t="s">
        <v>182</v>
      </c>
      <c r="S29" t="s">
        <v>120</v>
      </c>
      <c r="T29" s="12" t="s">
        <v>179</v>
      </c>
      <c r="U29" s="12" t="s">
        <v>180</v>
      </c>
      <c r="V29" s="12" t="s">
        <v>181</v>
      </c>
    </row>
    <row r="30" spans="1:27" ht="41.25" customHeight="1" x14ac:dyDescent="0.25">
      <c r="A30" t="s">
        <v>64</v>
      </c>
      <c r="B30" s="47" t="s">
        <v>102</v>
      </c>
      <c r="C30" s="47"/>
      <c r="D30" s="47"/>
      <c r="J30" s="19" t="s">
        <v>64</v>
      </c>
      <c r="K30" s="50" t="s">
        <v>108</v>
      </c>
      <c r="L30" s="50"/>
      <c r="M30" s="50"/>
      <c r="S30" s="12" t="s">
        <v>64</v>
      </c>
      <c r="T30" s="47" t="s">
        <v>96</v>
      </c>
      <c r="U30" s="47"/>
      <c r="V30" s="47"/>
    </row>
    <row r="31" spans="1:27" x14ac:dyDescent="0.25">
      <c r="A31" t="s">
        <v>65</v>
      </c>
      <c r="B31" s="20"/>
      <c r="C31" s="13">
        <v>0</v>
      </c>
      <c r="D31" s="13">
        <v>0.05</v>
      </c>
      <c r="J31" t="s">
        <v>65</v>
      </c>
      <c r="K31" s="20"/>
      <c r="L31" s="13">
        <v>0</v>
      </c>
      <c r="M31" s="13">
        <v>0</v>
      </c>
      <c r="S31" t="s">
        <v>65</v>
      </c>
      <c r="T31" s="20"/>
      <c r="U31" s="13">
        <v>0.18</v>
      </c>
      <c r="V31" s="13">
        <v>0.55000000000000004</v>
      </c>
    </row>
    <row r="32" spans="1:27" x14ac:dyDescent="0.25">
      <c r="A32" t="s">
        <v>66</v>
      </c>
      <c r="B32" s="20"/>
      <c r="C32" s="13">
        <v>0.25</v>
      </c>
      <c r="D32" s="13">
        <v>0.05</v>
      </c>
      <c r="J32" t="s">
        <v>66</v>
      </c>
      <c r="K32" s="20"/>
      <c r="L32" s="13">
        <v>0.4</v>
      </c>
      <c r="M32" s="13">
        <v>0.2</v>
      </c>
      <c r="S32" t="s">
        <v>66</v>
      </c>
      <c r="T32" s="20"/>
      <c r="U32" s="13">
        <v>0.16</v>
      </c>
      <c r="V32" s="13">
        <v>0</v>
      </c>
    </row>
    <row r="33" spans="1:27" x14ac:dyDescent="0.25">
      <c r="A33" t="s">
        <v>67</v>
      </c>
      <c r="B33" s="20"/>
      <c r="C33" s="13">
        <v>0</v>
      </c>
      <c r="D33" s="13">
        <v>0</v>
      </c>
      <c r="J33" t="s">
        <v>67</v>
      </c>
      <c r="K33" s="20"/>
      <c r="L33" s="13">
        <v>0.2</v>
      </c>
      <c r="M33" s="13">
        <v>0.5</v>
      </c>
      <c r="S33" t="s">
        <v>67</v>
      </c>
      <c r="T33" s="20"/>
      <c r="U33" s="13">
        <v>0</v>
      </c>
      <c r="V33" s="13">
        <v>0</v>
      </c>
    </row>
    <row r="34" spans="1:27" x14ac:dyDescent="0.25">
      <c r="A34" t="s">
        <v>45</v>
      </c>
      <c r="B34" s="12"/>
      <c r="C34" s="3" t="s">
        <v>11</v>
      </c>
      <c r="D34" s="3" t="s">
        <v>11</v>
      </c>
      <c r="J34" t="s">
        <v>45</v>
      </c>
      <c r="K34" s="12"/>
      <c r="L34" s="3" t="s">
        <v>11</v>
      </c>
      <c r="M34" s="3" t="s">
        <v>11</v>
      </c>
      <c r="S34" t="s">
        <v>45</v>
      </c>
      <c r="T34" s="12"/>
      <c r="U34" s="3" t="s">
        <v>11</v>
      </c>
      <c r="V34" s="3" t="s">
        <v>11</v>
      </c>
    </row>
    <row r="35" spans="1:27" x14ac:dyDescent="0.25">
      <c r="A35" t="s">
        <v>49</v>
      </c>
      <c r="J35" t="s">
        <v>49</v>
      </c>
      <c r="S35" t="s">
        <v>49</v>
      </c>
      <c r="U35" s="12"/>
      <c r="V35" s="12"/>
    </row>
    <row r="36" spans="1:27" x14ac:dyDescent="0.25">
      <c r="A36" s="46" t="s">
        <v>103</v>
      </c>
      <c r="B36" s="46"/>
      <c r="C36" s="46"/>
      <c r="D36" s="46"/>
      <c r="E36" s="46"/>
      <c r="F36" s="46"/>
      <c r="G36" s="46"/>
      <c r="J36" s="46" t="s">
        <v>107</v>
      </c>
      <c r="K36" s="46"/>
      <c r="L36" s="46"/>
      <c r="M36" s="46"/>
      <c r="N36" s="46"/>
      <c r="O36" s="46"/>
      <c r="P36" s="46"/>
      <c r="S36" s="46" t="s">
        <v>115</v>
      </c>
      <c r="T36" s="46"/>
      <c r="U36" s="46"/>
      <c r="V36" s="46"/>
      <c r="W36" s="46"/>
      <c r="X36" s="46"/>
      <c r="Y36" s="46"/>
    </row>
    <row r="37" spans="1:27" x14ac:dyDescent="0.25">
      <c r="A37" s="46"/>
      <c r="B37" s="46"/>
      <c r="C37" s="46"/>
      <c r="D37" s="46"/>
      <c r="E37" s="46"/>
      <c r="F37" s="46"/>
      <c r="G37" s="46"/>
      <c r="J37" s="46"/>
      <c r="K37" s="46"/>
      <c r="L37" s="46"/>
      <c r="M37" s="46"/>
      <c r="N37" s="46"/>
      <c r="O37" s="46"/>
      <c r="P37" s="46"/>
      <c r="S37" s="46"/>
      <c r="T37" s="46"/>
      <c r="U37" s="46"/>
      <c r="V37" s="46"/>
      <c r="W37" s="46"/>
      <c r="X37" s="46"/>
      <c r="Y37" s="46"/>
    </row>
    <row r="38" spans="1:27" x14ac:dyDescent="0.25">
      <c r="A38" s="46"/>
      <c r="B38" s="46"/>
      <c r="C38" s="46"/>
      <c r="D38" s="46"/>
      <c r="E38" s="46"/>
      <c r="F38" s="46"/>
      <c r="G38" s="46"/>
      <c r="J38" s="46"/>
      <c r="K38" s="46"/>
      <c r="L38" s="46"/>
      <c r="M38" s="46"/>
      <c r="N38" s="46"/>
      <c r="O38" s="46"/>
      <c r="P38" s="46"/>
      <c r="S38" s="46"/>
      <c r="T38" s="46"/>
      <c r="U38" s="46"/>
      <c r="V38" s="46"/>
      <c r="W38" s="46"/>
      <c r="X38" s="46"/>
      <c r="Y38" s="46"/>
    </row>
    <row r="39" spans="1:27" x14ac:dyDescent="0.25">
      <c r="A39" s="46"/>
      <c r="B39" s="46"/>
      <c r="C39" s="46"/>
      <c r="D39" s="46"/>
      <c r="E39" s="46"/>
      <c r="F39" s="46"/>
      <c r="G39" s="46"/>
      <c r="J39" s="46"/>
      <c r="K39" s="46"/>
      <c r="L39" s="46"/>
      <c r="M39" s="46"/>
      <c r="N39" s="46"/>
      <c r="O39" s="46"/>
      <c r="P39" s="46"/>
      <c r="S39" s="46"/>
      <c r="T39" s="46"/>
      <c r="U39" s="46"/>
      <c r="V39" s="46"/>
      <c r="W39" s="46"/>
      <c r="X39" s="46"/>
      <c r="Y39" s="46"/>
    </row>
    <row r="40" spans="1:27" x14ac:dyDescent="0.25">
      <c r="A40" s="46"/>
      <c r="B40" s="46"/>
      <c r="C40" s="46"/>
      <c r="D40" s="46"/>
      <c r="E40" s="46"/>
      <c r="F40" s="46"/>
      <c r="G40" s="46"/>
      <c r="J40" s="46"/>
      <c r="K40" s="46"/>
      <c r="L40" s="46"/>
      <c r="M40" s="46"/>
      <c r="N40" s="46"/>
      <c r="O40" s="46"/>
      <c r="P40" s="46"/>
      <c r="S40" s="46"/>
      <c r="T40" s="46"/>
      <c r="U40" s="46"/>
      <c r="V40" s="46"/>
      <c r="W40" s="46"/>
      <c r="X40" s="46"/>
      <c r="Y40" s="46"/>
    </row>
    <row r="41" spans="1:27" x14ac:dyDescent="0.25">
      <c r="A41" s="46"/>
      <c r="B41" s="46"/>
      <c r="C41" s="46"/>
      <c r="D41" s="46"/>
      <c r="E41" s="46"/>
      <c r="F41" s="46"/>
      <c r="G41" s="46"/>
      <c r="J41" s="46"/>
      <c r="K41" s="46"/>
      <c r="L41" s="46"/>
      <c r="M41" s="46"/>
      <c r="N41" s="46"/>
      <c r="O41" s="46"/>
      <c r="P41" s="46"/>
      <c r="S41" s="46"/>
      <c r="T41" s="46"/>
      <c r="U41" s="46"/>
      <c r="V41" s="46"/>
      <c r="W41" s="46"/>
      <c r="X41" s="46"/>
      <c r="Y41" s="46"/>
    </row>
    <row r="43" spans="1:27" x14ac:dyDescent="0.25">
      <c r="A43" t="s">
        <v>118</v>
      </c>
    </row>
    <row r="44" spans="1:27" x14ac:dyDescent="0.25">
      <c r="A44" s="16" t="s">
        <v>8</v>
      </c>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x14ac:dyDescent="0.25">
      <c r="A45" s="21" t="s">
        <v>2</v>
      </c>
      <c r="B45" t="s">
        <v>46</v>
      </c>
      <c r="C45" t="s">
        <v>47</v>
      </c>
      <c r="D45" t="s">
        <v>48</v>
      </c>
      <c r="J45" s="21" t="s">
        <v>3</v>
      </c>
      <c r="K45" t="s">
        <v>46</v>
      </c>
      <c r="L45" t="s">
        <v>47</v>
      </c>
      <c r="M45" t="s">
        <v>48</v>
      </c>
      <c r="S45" s="21" t="s">
        <v>4</v>
      </c>
      <c r="T45" t="s">
        <v>46</v>
      </c>
      <c r="U45" t="s">
        <v>47</v>
      </c>
      <c r="V45" t="s">
        <v>48</v>
      </c>
    </row>
    <row r="46" spans="1:27" x14ac:dyDescent="0.25">
      <c r="A46" t="s">
        <v>27</v>
      </c>
      <c r="B46" s="36" t="s">
        <v>11</v>
      </c>
      <c r="C46" s="36" t="s">
        <v>11</v>
      </c>
      <c r="D46" s="36" t="s">
        <v>11</v>
      </c>
      <c r="J46" t="s">
        <v>27</v>
      </c>
      <c r="K46" s="36" t="s">
        <v>11</v>
      </c>
      <c r="L46" s="36" t="s">
        <v>11</v>
      </c>
      <c r="M46" s="36" t="s">
        <v>11</v>
      </c>
      <c r="S46" t="s">
        <v>27</v>
      </c>
      <c r="T46" s="3" t="s">
        <v>11</v>
      </c>
      <c r="U46" s="3" t="s">
        <v>11</v>
      </c>
      <c r="V46" s="3" t="s">
        <v>11</v>
      </c>
    </row>
    <row r="47" spans="1:27" x14ac:dyDescent="0.25">
      <c r="A47" t="s">
        <v>44</v>
      </c>
      <c r="B47" s="37">
        <v>0.93</v>
      </c>
      <c r="C47" s="37">
        <v>0.75</v>
      </c>
      <c r="D47" s="37">
        <v>0.52</v>
      </c>
      <c r="J47" t="s">
        <v>44</v>
      </c>
      <c r="K47" s="33" t="s">
        <v>90</v>
      </c>
      <c r="L47" s="37">
        <v>0.64</v>
      </c>
      <c r="M47" s="37">
        <v>0.82</v>
      </c>
      <c r="S47" t="s">
        <v>44</v>
      </c>
      <c r="T47" s="13" t="s">
        <v>109</v>
      </c>
      <c r="U47" s="13">
        <v>0.8</v>
      </c>
      <c r="V47" s="13">
        <v>0.84</v>
      </c>
    </row>
    <row r="48" spans="1:27" x14ac:dyDescent="0.25">
      <c r="A48" t="s">
        <v>62</v>
      </c>
      <c r="B48" s="33" t="s">
        <v>109</v>
      </c>
      <c r="C48" s="33" t="s">
        <v>117</v>
      </c>
      <c r="D48" s="33" t="s">
        <v>119</v>
      </c>
      <c r="J48" t="s">
        <v>62</v>
      </c>
      <c r="K48" s="33" t="s">
        <v>90</v>
      </c>
      <c r="L48" s="33" t="s">
        <v>129</v>
      </c>
      <c r="M48" s="33" t="s">
        <v>127</v>
      </c>
      <c r="S48" t="s">
        <v>62</v>
      </c>
      <c r="T48" s="12" t="s">
        <v>109</v>
      </c>
      <c r="U48" s="12" t="s">
        <v>133</v>
      </c>
      <c r="V48" s="12" t="s">
        <v>135</v>
      </c>
    </row>
    <row r="49" spans="1:25" x14ac:dyDescent="0.25">
      <c r="A49" t="s">
        <v>61</v>
      </c>
      <c r="B49" s="33" t="s">
        <v>116</v>
      </c>
      <c r="C49" s="33" t="s">
        <v>94</v>
      </c>
      <c r="D49" s="33" t="s">
        <v>94</v>
      </c>
      <c r="G49" s="33" t="s">
        <v>126</v>
      </c>
      <c r="J49" t="s">
        <v>61</v>
      </c>
      <c r="K49" s="33" t="s">
        <v>90</v>
      </c>
      <c r="L49" s="33" t="s">
        <v>94</v>
      </c>
      <c r="M49" s="33" t="s">
        <v>94</v>
      </c>
      <c r="S49" t="s">
        <v>61</v>
      </c>
      <c r="T49" s="12" t="s">
        <v>109</v>
      </c>
      <c r="U49" s="12" t="s">
        <v>94</v>
      </c>
      <c r="V49" s="12" t="s">
        <v>136</v>
      </c>
    </row>
    <row r="50" spans="1:25" x14ac:dyDescent="0.25">
      <c r="A50" t="s">
        <v>120</v>
      </c>
      <c r="B50" s="33" t="s">
        <v>121</v>
      </c>
      <c r="C50" s="33" t="s">
        <v>122</v>
      </c>
      <c r="D50" s="33" t="s">
        <v>123</v>
      </c>
      <c r="J50" t="s">
        <v>120</v>
      </c>
      <c r="K50" s="33" t="s">
        <v>90</v>
      </c>
      <c r="L50" s="33" t="s">
        <v>130</v>
      </c>
      <c r="M50" s="33" t="s">
        <v>128</v>
      </c>
      <c r="S50" t="s">
        <v>120</v>
      </c>
      <c r="T50" s="12" t="s">
        <v>109</v>
      </c>
      <c r="U50" s="12" t="s">
        <v>134</v>
      </c>
      <c r="V50" s="12" t="s">
        <v>137</v>
      </c>
    </row>
    <row r="51" spans="1:25" x14ac:dyDescent="0.25">
      <c r="A51" t="s">
        <v>64</v>
      </c>
      <c r="B51" s="48" t="s">
        <v>124</v>
      </c>
      <c r="C51" s="48"/>
      <c r="D51" s="48"/>
      <c r="J51" t="s">
        <v>64</v>
      </c>
      <c r="K51" s="48" t="s">
        <v>132</v>
      </c>
      <c r="L51" s="48"/>
      <c r="M51" s="48"/>
      <c r="S51" t="s">
        <v>64</v>
      </c>
      <c r="T51" s="47" t="s">
        <v>139</v>
      </c>
      <c r="U51" s="47"/>
      <c r="V51" s="47"/>
    </row>
    <row r="52" spans="1:25" x14ac:dyDescent="0.25">
      <c r="A52" t="s">
        <v>65</v>
      </c>
      <c r="B52" s="35"/>
      <c r="C52" s="37">
        <v>0</v>
      </c>
      <c r="D52" s="37">
        <v>0.82</v>
      </c>
      <c r="J52" t="s">
        <v>65</v>
      </c>
      <c r="K52" s="35"/>
      <c r="L52" s="33" t="s">
        <v>88</v>
      </c>
      <c r="M52" s="37">
        <v>0</v>
      </c>
      <c r="S52" t="s">
        <v>65</v>
      </c>
      <c r="T52" s="20"/>
      <c r="U52" s="12" t="s">
        <v>88</v>
      </c>
      <c r="V52" s="12" t="s">
        <v>88</v>
      </c>
    </row>
    <row r="53" spans="1:25" x14ac:dyDescent="0.25">
      <c r="A53" t="s">
        <v>66</v>
      </c>
      <c r="B53" s="35"/>
      <c r="C53" s="37">
        <v>0.25</v>
      </c>
      <c r="D53" s="37">
        <v>0.35</v>
      </c>
      <c r="J53" t="s">
        <v>66</v>
      </c>
      <c r="K53" s="35"/>
      <c r="L53" s="37">
        <v>0.35</v>
      </c>
      <c r="M53" s="37">
        <v>0.25</v>
      </c>
      <c r="S53" t="s">
        <v>66</v>
      </c>
      <c r="T53" s="20"/>
      <c r="U53" s="13">
        <v>0.05</v>
      </c>
      <c r="V53" s="13">
        <v>0.1</v>
      </c>
    </row>
    <row r="54" spans="1:25" x14ac:dyDescent="0.25">
      <c r="A54" t="s">
        <v>67</v>
      </c>
      <c r="B54" s="35"/>
      <c r="C54" s="37">
        <v>0</v>
      </c>
      <c r="D54" s="37">
        <v>0</v>
      </c>
      <c r="J54" t="s">
        <v>67</v>
      </c>
      <c r="K54" s="35"/>
      <c r="L54" s="37">
        <v>0</v>
      </c>
      <c r="M54" s="37">
        <v>0</v>
      </c>
      <c r="S54" t="s">
        <v>67</v>
      </c>
      <c r="T54" s="20"/>
      <c r="U54" s="13">
        <v>0</v>
      </c>
      <c r="V54" s="13">
        <v>0</v>
      </c>
    </row>
    <row r="55" spans="1:25" x14ac:dyDescent="0.25">
      <c r="A55" t="s">
        <v>45</v>
      </c>
      <c r="B55" s="33"/>
      <c r="C55" s="33"/>
      <c r="D55" s="33"/>
      <c r="J55" t="s">
        <v>45</v>
      </c>
      <c r="K55" s="33"/>
      <c r="L55" s="36" t="s">
        <v>11</v>
      </c>
      <c r="M55" s="36" t="s">
        <v>11</v>
      </c>
      <c r="S55" t="s">
        <v>45</v>
      </c>
      <c r="T55" s="12"/>
      <c r="U55" s="3" t="s">
        <v>11</v>
      </c>
      <c r="V55" s="3" t="s">
        <v>11</v>
      </c>
    </row>
    <row r="56" spans="1:25" x14ac:dyDescent="0.25">
      <c r="A56" t="s">
        <v>49</v>
      </c>
      <c r="J56" t="s">
        <v>49</v>
      </c>
      <c r="S56" t="s">
        <v>49</v>
      </c>
    </row>
    <row r="57" spans="1:25" x14ac:dyDescent="0.25">
      <c r="A57" s="46" t="s">
        <v>125</v>
      </c>
      <c r="B57" s="46"/>
      <c r="C57" s="46"/>
      <c r="D57" s="46"/>
      <c r="E57" s="46"/>
      <c r="F57" s="46"/>
      <c r="G57" s="46"/>
      <c r="J57" s="46" t="s">
        <v>131</v>
      </c>
      <c r="K57" s="46"/>
      <c r="L57" s="46"/>
      <c r="M57" s="46"/>
      <c r="N57" s="46"/>
      <c r="O57" s="46"/>
      <c r="P57" s="46"/>
      <c r="S57" s="46" t="s">
        <v>138</v>
      </c>
      <c r="T57" s="46"/>
      <c r="U57" s="46"/>
      <c r="V57" s="46"/>
      <c r="W57" s="46"/>
      <c r="X57" s="46"/>
      <c r="Y57" s="46"/>
    </row>
    <row r="58" spans="1:25" x14ac:dyDescent="0.25">
      <c r="A58" s="46"/>
      <c r="B58" s="46"/>
      <c r="C58" s="46"/>
      <c r="D58" s="46"/>
      <c r="E58" s="46"/>
      <c r="F58" s="46"/>
      <c r="G58" s="46"/>
      <c r="J58" s="46"/>
      <c r="K58" s="46"/>
      <c r="L58" s="46"/>
      <c r="M58" s="46"/>
      <c r="N58" s="46"/>
      <c r="O58" s="46"/>
      <c r="P58" s="46"/>
      <c r="S58" s="46"/>
      <c r="T58" s="46"/>
      <c r="U58" s="46"/>
      <c r="V58" s="46"/>
      <c r="W58" s="46"/>
      <c r="X58" s="46"/>
      <c r="Y58" s="46"/>
    </row>
    <row r="59" spans="1:25" x14ac:dyDescent="0.25">
      <c r="A59" s="46"/>
      <c r="B59" s="46"/>
      <c r="C59" s="46"/>
      <c r="D59" s="46"/>
      <c r="E59" s="46"/>
      <c r="F59" s="46"/>
      <c r="G59" s="46"/>
      <c r="J59" s="46"/>
      <c r="K59" s="46"/>
      <c r="L59" s="46"/>
      <c r="M59" s="46"/>
      <c r="N59" s="46"/>
      <c r="O59" s="46"/>
      <c r="P59" s="46"/>
      <c r="S59" s="46"/>
      <c r="T59" s="46"/>
      <c r="U59" s="46"/>
      <c r="V59" s="46"/>
      <c r="W59" s="46"/>
      <c r="X59" s="46"/>
      <c r="Y59" s="46"/>
    </row>
    <row r="60" spans="1:25" x14ac:dyDescent="0.25">
      <c r="A60" s="46"/>
      <c r="B60" s="46"/>
      <c r="C60" s="46"/>
      <c r="D60" s="46"/>
      <c r="E60" s="46"/>
      <c r="F60" s="46"/>
      <c r="G60" s="46"/>
      <c r="J60" s="46"/>
      <c r="K60" s="46"/>
      <c r="L60" s="46"/>
      <c r="M60" s="46"/>
      <c r="N60" s="46"/>
      <c r="O60" s="46"/>
      <c r="P60" s="46"/>
      <c r="S60" s="46"/>
      <c r="T60" s="46"/>
      <c r="U60" s="46"/>
      <c r="V60" s="46"/>
      <c r="W60" s="46"/>
      <c r="X60" s="46"/>
      <c r="Y60" s="46"/>
    </row>
    <row r="61" spans="1:25" x14ac:dyDescent="0.25">
      <c r="A61" s="46"/>
      <c r="B61" s="46"/>
      <c r="C61" s="46"/>
      <c r="D61" s="46"/>
      <c r="E61" s="46"/>
      <c r="F61" s="46"/>
      <c r="G61" s="46"/>
      <c r="J61" s="46"/>
      <c r="K61" s="46"/>
      <c r="L61" s="46"/>
      <c r="M61" s="46"/>
      <c r="N61" s="46"/>
      <c r="O61" s="46"/>
      <c r="P61" s="46"/>
      <c r="S61" s="46"/>
      <c r="T61" s="46"/>
      <c r="U61" s="46"/>
      <c r="V61" s="46"/>
      <c r="W61" s="46"/>
      <c r="X61" s="46"/>
      <c r="Y61" s="46"/>
    </row>
    <row r="62" spans="1:25" ht="68.25" customHeight="1" x14ac:dyDescent="0.25">
      <c r="A62" s="46"/>
      <c r="B62" s="46"/>
      <c r="C62" s="46"/>
      <c r="D62" s="46"/>
      <c r="E62" s="46"/>
      <c r="F62" s="46"/>
      <c r="G62" s="46"/>
      <c r="J62" s="46"/>
      <c r="K62" s="46"/>
      <c r="L62" s="46"/>
      <c r="M62" s="46"/>
      <c r="N62" s="46"/>
      <c r="O62" s="46"/>
      <c r="P62" s="46"/>
      <c r="S62" s="46"/>
      <c r="T62" s="46"/>
      <c r="U62" s="46"/>
      <c r="V62" s="46"/>
      <c r="W62" s="46"/>
      <c r="X62" s="46"/>
      <c r="Y62" s="46"/>
    </row>
    <row r="65" spans="1:27" x14ac:dyDescent="0.25">
      <c r="A65" s="17" t="s">
        <v>9</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spans="1:27" x14ac:dyDescent="0.25">
      <c r="A66" s="21" t="s">
        <v>2</v>
      </c>
      <c r="B66" t="s">
        <v>46</v>
      </c>
      <c r="C66" t="s">
        <v>47</v>
      </c>
      <c r="D66" t="s">
        <v>48</v>
      </c>
      <c r="J66" s="21" t="s">
        <v>3</v>
      </c>
      <c r="K66" t="s">
        <v>46</v>
      </c>
      <c r="L66" t="s">
        <v>47</v>
      </c>
      <c r="M66" t="s">
        <v>48</v>
      </c>
      <c r="S66" t="s">
        <v>4</v>
      </c>
      <c r="T66" t="s">
        <v>46</v>
      </c>
      <c r="U66" t="s">
        <v>47</v>
      </c>
      <c r="V66" t="s">
        <v>48</v>
      </c>
    </row>
    <row r="67" spans="1:27" x14ac:dyDescent="0.25">
      <c r="A67" t="s">
        <v>27</v>
      </c>
      <c r="B67" s="3" t="s">
        <v>11</v>
      </c>
      <c r="C67" s="3" t="s">
        <v>11</v>
      </c>
      <c r="D67" s="3" t="s">
        <v>11</v>
      </c>
      <c r="J67" t="s">
        <v>27</v>
      </c>
      <c r="K67" s="3" t="s">
        <v>11</v>
      </c>
      <c r="L67" s="3" t="s">
        <v>11</v>
      </c>
      <c r="M67" s="3" t="s">
        <v>11</v>
      </c>
      <c r="S67" t="s">
        <v>27</v>
      </c>
      <c r="T67" s="36" t="s">
        <v>11</v>
      </c>
      <c r="U67" s="36" t="s">
        <v>11</v>
      </c>
      <c r="V67" s="36" t="s">
        <v>11</v>
      </c>
    </row>
    <row r="68" spans="1:27" x14ac:dyDescent="0.25">
      <c r="A68" t="s">
        <v>44</v>
      </c>
      <c r="B68" s="13">
        <v>0.88</v>
      </c>
      <c r="C68" s="13">
        <v>0.67</v>
      </c>
      <c r="D68" s="13">
        <v>0.48</v>
      </c>
      <c r="J68" t="s">
        <v>44</v>
      </c>
      <c r="K68" s="13">
        <v>0.88</v>
      </c>
      <c r="L68" s="13">
        <v>0.51</v>
      </c>
      <c r="M68" s="13">
        <v>0.6</v>
      </c>
      <c r="S68" t="s">
        <v>44</v>
      </c>
      <c r="T68" s="37">
        <v>0.88</v>
      </c>
      <c r="U68" s="10">
        <v>0.46</v>
      </c>
      <c r="V68" s="37">
        <v>0.46</v>
      </c>
    </row>
    <row r="69" spans="1:27" x14ac:dyDescent="0.25">
      <c r="A69" t="s">
        <v>62</v>
      </c>
      <c r="B69" s="12" t="s">
        <v>109</v>
      </c>
      <c r="C69" s="12" t="s">
        <v>142</v>
      </c>
      <c r="D69" s="12" t="s">
        <v>145</v>
      </c>
      <c r="J69" t="s">
        <v>62</v>
      </c>
      <c r="K69" s="12" t="s">
        <v>150</v>
      </c>
      <c r="L69" s="12" t="s">
        <v>153</v>
      </c>
      <c r="M69" s="12" t="s">
        <v>156</v>
      </c>
      <c r="S69" t="s">
        <v>62</v>
      </c>
      <c r="T69" s="33" t="s">
        <v>161</v>
      </c>
      <c r="U69" t="s">
        <v>166</v>
      </c>
      <c r="V69" s="33" t="s">
        <v>164</v>
      </c>
    </row>
    <row r="70" spans="1:27" x14ac:dyDescent="0.25">
      <c r="A70" t="s">
        <v>61</v>
      </c>
      <c r="B70" s="12" t="s">
        <v>140</v>
      </c>
      <c r="C70" s="12" t="s">
        <v>143</v>
      </c>
      <c r="D70" s="12" t="s">
        <v>146</v>
      </c>
      <c r="J70" t="s">
        <v>61</v>
      </c>
      <c r="K70" s="12" t="s">
        <v>151</v>
      </c>
      <c r="L70" s="12" t="s">
        <v>154</v>
      </c>
      <c r="M70" s="12" t="s">
        <v>157</v>
      </c>
      <c r="S70" t="s">
        <v>61</v>
      </c>
      <c r="T70" s="33" t="s">
        <v>162</v>
      </c>
      <c r="U70" t="s">
        <v>167</v>
      </c>
      <c r="V70" s="33" t="s">
        <v>165</v>
      </c>
    </row>
    <row r="71" spans="1:27" x14ac:dyDescent="0.25">
      <c r="A71" t="s">
        <v>120</v>
      </c>
      <c r="B71" s="12" t="s">
        <v>141</v>
      </c>
      <c r="C71" s="12" t="s">
        <v>144</v>
      </c>
      <c r="D71" s="12" t="s">
        <v>147</v>
      </c>
      <c r="J71" t="s">
        <v>120</v>
      </c>
      <c r="K71" s="12" t="s">
        <v>152</v>
      </c>
      <c r="L71" s="12" t="s">
        <v>155</v>
      </c>
      <c r="M71" s="12" t="s">
        <v>158</v>
      </c>
      <c r="S71" t="s">
        <v>120</v>
      </c>
      <c r="T71" s="33" t="s">
        <v>163</v>
      </c>
      <c r="U71" t="s">
        <v>168</v>
      </c>
      <c r="V71" s="33" t="s">
        <v>155</v>
      </c>
    </row>
    <row r="72" spans="1:27" x14ac:dyDescent="0.25">
      <c r="A72" t="s">
        <v>64</v>
      </c>
      <c r="B72" s="47" t="s">
        <v>148</v>
      </c>
      <c r="C72" s="47"/>
      <c r="D72" s="47"/>
      <c r="J72" t="s">
        <v>64</v>
      </c>
      <c r="K72" s="47" t="s">
        <v>160</v>
      </c>
      <c r="L72" s="47"/>
      <c r="M72" s="47"/>
      <c r="S72" t="s">
        <v>64</v>
      </c>
      <c r="T72" s="33"/>
      <c r="U72" s="33"/>
      <c r="V72" s="33"/>
    </row>
    <row r="73" spans="1:27" x14ac:dyDescent="0.25">
      <c r="A73" t="s">
        <v>65</v>
      </c>
      <c r="B73" s="20"/>
      <c r="C73" s="13">
        <v>0.35</v>
      </c>
      <c r="D73" s="13">
        <v>0.05</v>
      </c>
      <c r="J73" t="s">
        <v>65</v>
      </c>
      <c r="K73" s="20"/>
      <c r="L73" s="13">
        <v>1</v>
      </c>
      <c r="M73" s="13">
        <v>0</v>
      </c>
      <c r="S73" t="s">
        <v>65</v>
      </c>
      <c r="T73" s="35"/>
      <c r="U73" s="35"/>
      <c r="V73" s="33"/>
    </row>
    <row r="74" spans="1:27" x14ac:dyDescent="0.25">
      <c r="A74" t="s">
        <v>66</v>
      </c>
      <c r="B74" s="20"/>
      <c r="C74" s="13">
        <v>0</v>
      </c>
      <c r="D74" s="13">
        <v>0</v>
      </c>
      <c r="J74" t="s">
        <v>66</v>
      </c>
      <c r="K74" s="20"/>
      <c r="L74" s="13">
        <v>0</v>
      </c>
      <c r="M74" s="13">
        <v>0</v>
      </c>
      <c r="S74" t="s">
        <v>66</v>
      </c>
      <c r="T74" s="35"/>
      <c r="U74" s="35"/>
      <c r="V74" s="33"/>
    </row>
    <row r="75" spans="1:27" x14ac:dyDescent="0.25">
      <c r="A75" t="s">
        <v>67</v>
      </c>
      <c r="B75" s="20"/>
      <c r="C75" s="12" t="s">
        <v>88</v>
      </c>
      <c r="D75" s="13">
        <v>0.65</v>
      </c>
      <c r="J75" t="s">
        <v>67</v>
      </c>
      <c r="K75" s="20"/>
      <c r="L75" s="13">
        <v>0.35</v>
      </c>
      <c r="M75" s="13">
        <v>0.35</v>
      </c>
      <c r="S75" t="s">
        <v>67</v>
      </c>
      <c r="T75" s="35"/>
      <c r="U75" s="35"/>
      <c r="V75" s="33"/>
    </row>
    <row r="76" spans="1:27" x14ac:dyDescent="0.25">
      <c r="A76" t="s">
        <v>45</v>
      </c>
      <c r="B76" s="12"/>
      <c r="C76" s="3" t="s">
        <v>11</v>
      </c>
      <c r="D76" s="3" t="s">
        <v>11</v>
      </c>
      <c r="J76" t="s">
        <v>45</v>
      </c>
      <c r="K76" s="12"/>
      <c r="L76" s="3" t="s">
        <v>11</v>
      </c>
      <c r="M76" s="3" t="s">
        <v>11</v>
      </c>
      <c r="S76" t="s">
        <v>45</v>
      </c>
      <c r="T76" s="33"/>
      <c r="U76" s="33"/>
      <c r="V76" s="33"/>
    </row>
    <row r="77" spans="1:27" x14ac:dyDescent="0.25">
      <c r="A77" t="s">
        <v>49</v>
      </c>
      <c r="J77" t="s">
        <v>49</v>
      </c>
      <c r="S77" t="s">
        <v>49</v>
      </c>
    </row>
    <row r="78" spans="1:27" x14ac:dyDescent="0.25">
      <c r="A78" s="46" t="s">
        <v>149</v>
      </c>
      <c r="B78" s="46"/>
      <c r="C78" s="46"/>
      <c r="D78" s="46"/>
      <c r="E78" s="46"/>
      <c r="F78" s="46"/>
      <c r="G78" s="46"/>
      <c r="J78" s="46" t="s">
        <v>159</v>
      </c>
      <c r="K78" s="46"/>
      <c r="L78" s="46"/>
      <c r="M78" s="46"/>
      <c r="N78" s="46"/>
      <c r="O78" s="46"/>
      <c r="P78" s="46"/>
      <c r="S78" s="46" t="s">
        <v>169</v>
      </c>
      <c r="T78" s="46"/>
      <c r="U78" s="46"/>
      <c r="V78" s="46"/>
      <c r="W78" s="46"/>
      <c r="X78" s="46"/>
      <c r="Y78" s="46"/>
    </row>
    <row r="79" spans="1:27" x14ac:dyDescent="0.25">
      <c r="A79" s="46"/>
      <c r="B79" s="46"/>
      <c r="C79" s="46"/>
      <c r="D79" s="46"/>
      <c r="E79" s="46"/>
      <c r="F79" s="46"/>
      <c r="G79" s="46"/>
      <c r="J79" s="46"/>
      <c r="K79" s="46"/>
      <c r="L79" s="46"/>
      <c r="M79" s="46"/>
      <c r="N79" s="46"/>
      <c r="O79" s="46"/>
      <c r="P79" s="46"/>
      <c r="S79" s="46"/>
      <c r="T79" s="46"/>
      <c r="U79" s="46"/>
      <c r="V79" s="46"/>
      <c r="W79" s="46"/>
      <c r="X79" s="46"/>
      <c r="Y79" s="46"/>
    </row>
    <row r="80" spans="1:27" x14ac:dyDescent="0.25">
      <c r="A80" s="46"/>
      <c r="B80" s="46"/>
      <c r="C80" s="46"/>
      <c r="D80" s="46"/>
      <c r="E80" s="46"/>
      <c r="F80" s="46"/>
      <c r="G80" s="46"/>
      <c r="J80" s="46"/>
      <c r="K80" s="46"/>
      <c r="L80" s="46"/>
      <c r="M80" s="46"/>
      <c r="N80" s="46"/>
      <c r="O80" s="46"/>
      <c r="P80" s="46"/>
      <c r="S80" s="46"/>
      <c r="T80" s="46"/>
      <c r="U80" s="46"/>
      <c r="V80" s="46"/>
      <c r="W80" s="46"/>
      <c r="X80" s="46"/>
      <c r="Y80" s="46"/>
    </row>
    <row r="81" spans="1:25" x14ac:dyDescent="0.25">
      <c r="A81" s="46"/>
      <c r="B81" s="46"/>
      <c r="C81" s="46"/>
      <c r="D81" s="46"/>
      <c r="E81" s="46"/>
      <c r="F81" s="46"/>
      <c r="G81" s="46"/>
      <c r="J81" s="46"/>
      <c r="K81" s="46"/>
      <c r="L81" s="46"/>
      <c r="M81" s="46"/>
      <c r="N81" s="46"/>
      <c r="O81" s="46"/>
      <c r="P81" s="46"/>
      <c r="S81" s="46"/>
      <c r="T81" s="46"/>
      <c r="U81" s="46"/>
      <c r="V81" s="46"/>
      <c r="W81" s="46"/>
      <c r="X81" s="46"/>
      <c r="Y81" s="46"/>
    </row>
    <row r="82" spans="1:25" x14ac:dyDescent="0.25">
      <c r="A82" s="46"/>
      <c r="B82" s="46"/>
      <c r="C82" s="46"/>
      <c r="D82" s="46"/>
      <c r="E82" s="46"/>
      <c r="F82" s="46"/>
      <c r="G82" s="46"/>
      <c r="J82" s="46"/>
      <c r="K82" s="46"/>
      <c r="L82" s="46"/>
      <c r="M82" s="46"/>
      <c r="N82" s="46"/>
      <c r="O82" s="46"/>
      <c r="P82" s="46"/>
      <c r="S82" s="46"/>
      <c r="T82" s="46"/>
      <c r="U82" s="46"/>
      <c r="V82" s="46"/>
      <c r="W82" s="46"/>
      <c r="X82" s="46"/>
      <c r="Y82" s="46"/>
    </row>
    <row r="83" spans="1:25" x14ac:dyDescent="0.25">
      <c r="A83" s="46"/>
      <c r="B83" s="46"/>
      <c r="C83" s="46"/>
      <c r="D83" s="46"/>
      <c r="E83" s="46"/>
      <c r="F83" s="46"/>
      <c r="G83" s="46"/>
      <c r="J83" s="46"/>
      <c r="K83" s="46"/>
      <c r="L83" s="46"/>
      <c r="M83" s="46"/>
      <c r="N83" s="46"/>
      <c r="O83" s="46"/>
      <c r="P83" s="46"/>
      <c r="S83" s="46"/>
      <c r="T83" s="46"/>
      <c r="U83" s="46"/>
      <c r="V83" s="46"/>
      <c r="W83" s="46"/>
      <c r="X83" s="46"/>
      <c r="Y83" s="46"/>
    </row>
  </sheetData>
  <mergeCells count="24">
    <mergeCell ref="B51:D51"/>
    <mergeCell ref="A1:K1"/>
    <mergeCell ref="A15:G20"/>
    <mergeCell ref="J15:P20"/>
    <mergeCell ref="S15:Y20"/>
    <mergeCell ref="A36:G41"/>
    <mergeCell ref="J36:P41"/>
    <mergeCell ref="S36:Y41"/>
    <mergeCell ref="A14:G14"/>
    <mergeCell ref="K9:M9"/>
    <mergeCell ref="T9:V9"/>
    <mergeCell ref="B30:D30"/>
    <mergeCell ref="K30:M30"/>
    <mergeCell ref="T30:V30"/>
    <mergeCell ref="K51:M51"/>
    <mergeCell ref="T51:V51"/>
    <mergeCell ref="A57:G62"/>
    <mergeCell ref="J57:P62"/>
    <mergeCell ref="S57:Y62"/>
    <mergeCell ref="A78:G83"/>
    <mergeCell ref="J78:P83"/>
    <mergeCell ref="S78:Y83"/>
    <mergeCell ref="B72:D72"/>
    <mergeCell ref="K72:M72"/>
  </mergeCells>
  <hyperlinks>
    <hyperlink ref="B4" r:id="rId1" xr:uid="{0E1EFEF6-7523-47AB-B15A-BF3CE7185C23}"/>
    <hyperlink ref="C4" r:id="rId2" xr:uid="{4827566F-260E-4730-ADF6-A0259BC1780A}"/>
    <hyperlink ref="D4" r:id="rId3" xr:uid="{34ACC3DE-34FD-4F23-BF84-11B5B42A9248}"/>
    <hyperlink ref="B5" r:id="rId4" xr:uid="{1EFC3625-330E-4CC4-BB6A-18E9523C8B47}"/>
    <hyperlink ref="C5" r:id="rId5" xr:uid="{7D9E6FB9-0440-4876-AAE9-2E8BF23CAF64}"/>
    <hyperlink ref="D5" r:id="rId6" xr:uid="{B2308DB8-9A50-4796-BAB7-5A53FC599222}"/>
    <hyperlink ref="C13" r:id="rId7" xr:uid="{4D2B1599-F3E6-4CB3-98AF-97853BA7A98E}"/>
    <hyperlink ref="D13" r:id="rId8" xr:uid="{52C6B7A0-FC74-45BD-B6A0-7B8996D18F55}"/>
    <hyperlink ref="K4" r:id="rId9" xr:uid="{7BF64142-D735-4872-BE2A-E5DBE35D2DFB}"/>
    <hyperlink ref="L4" r:id="rId10" xr:uid="{D2E12554-E2E5-4B57-AF8D-6CF274F9380C}"/>
    <hyperlink ref="M4" r:id="rId11" xr:uid="{8975980B-1F69-4CA3-B902-03F9094336E1}"/>
    <hyperlink ref="J3" r:id="rId12" xr:uid="{8ED69F5C-AEA7-442D-AA9D-35734F769D5D}"/>
    <hyperlink ref="L13" r:id="rId13" xr:uid="{D99AB96E-8562-4EFA-BC3D-C48715D1B0BF}"/>
    <hyperlink ref="M13" r:id="rId14" xr:uid="{B284471B-A66A-420D-A952-06564DA46FEF}"/>
    <hyperlink ref="S3" r:id="rId15" xr:uid="{66708984-4BA3-4350-9C34-6AF632D0D220}"/>
    <hyperlink ref="T4" r:id="rId16" xr:uid="{A9D13B8A-974B-4473-976F-2F0E8A3A7450}"/>
    <hyperlink ref="U4" r:id="rId17" xr:uid="{EB17AD5C-F9CC-431F-B5ED-8987DE168689}"/>
    <hyperlink ref="V4" r:id="rId18" xr:uid="{7EB86ED6-A5BC-4AE3-A235-66A5DE7864F5}"/>
    <hyperlink ref="U13" r:id="rId19" xr:uid="{666CADC0-D364-4405-BFD8-04D5C16AC12C}"/>
    <hyperlink ref="V13" r:id="rId20" xr:uid="{C6C93ACB-D448-4216-9499-FE8AB1C50F22}"/>
    <hyperlink ref="B25" r:id="rId21" xr:uid="{DAFF463D-080E-4B3E-8898-6FE7615B591C}"/>
    <hyperlink ref="C25" r:id="rId22" xr:uid="{02B8422E-24C0-45AA-ACF6-C2DCD1522455}"/>
    <hyperlink ref="D25" r:id="rId23" xr:uid="{BBBF5ADB-39FB-40F8-8753-EF5F4BA49A91}"/>
    <hyperlink ref="C34" r:id="rId24" xr:uid="{5922374E-254D-4CBB-A30C-A58CFEE2D009}"/>
    <hyperlink ref="D34" r:id="rId25" xr:uid="{C6B1264A-537C-48AA-BCE7-015D7AB16F52}"/>
    <hyperlink ref="K25" r:id="rId26" xr:uid="{000E12F3-7039-42A6-BEED-F8D56267C660}"/>
    <hyperlink ref="L25" r:id="rId27" xr:uid="{759B0DA6-083F-4A03-AAC0-29F6C788410E}"/>
    <hyperlink ref="M25" r:id="rId28" xr:uid="{418020B0-E3C8-47C5-8914-847E1040A51A}"/>
    <hyperlink ref="L34" r:id="rId29" xr:uid="{EDB578DF-3231-414A-A751-362BEA9D775F}"/>
    <hyperlink ref="M34" r:id="rId30" xr:uid="{A7775ABE-FA0E-42D2-82E3-A2A27C9B2558}"/>
    <hyperlink ref="T25" r:id="rId31" xr:uid="{9BB2294F-AB0E-422D-B382-7909499BCB27}"/>
    <hyperlink ref="U25" r:id="rId32" xr:uid="{BA3E1F4D-6FE0-400A-9EF1-78C36E42BF9E}"/>
    <hyperlink ref="V25" r:id="rId33" xr:uid="{2310BB3D-B54B-4A61-A170-A5541A5C9CB0}"/>
    <hyperlink ref="U34" r:id="rId34" xr:uid="{5BDA776D-BFCE-4F95-8CE9-877B8681FD3E}"/>
    <hyperlink ref="V34" r:id="rId35" xr:uid="{F7293832-DB89-47C1-A193-FF5C348AD70E}"/>
    <hyperlink ref="B46" r:id="rId36" xr:uid="{8A651D45-7423-4650-9BAC-15F11F7AF1E3}"/>
    <hyperlink ref="C46" r:id="rId37" xr:uid="{41E34525-0AEE-4C12-BB5B-161A24CA38B9}"/>
    <hyperlink ref="D46" r:id="rId38" xr:uid="{07D086A8-C3E1-48E7-8323-4CF46E75B35B}"/>
    <hyperlink ref="K46" r:id="rId39" xr:uid="{73A23355-DA5B-4024-AB1E-B88F29214089}"/>
    <hyperlink ref="L46" r:id="rId40" xr:uid="{4DA7B247-9223-446D-B1F5-4F6B683DD952}"/>
    <hyperlink ref="M46" r:id="rId41" xr:uid="{D131BB3A-3608-4E4D-BF9D-034B56298C9C}"/>
    <hyperlink ref="L55" r:id="rId42" xr:uid="{A2036A57-64C6-4FDE-ACB7-2B403F6F698B}"/>
    <hyperlink ref="M55" r:id="rId43" xr:uid="{56E2F455-2F36-4D24-8AED-77289DF3586A}"/>
    <hyperlink ref="T46" r:id="rId44" xr:uid="{72326832-DD71-441C-B3D5-2B3B8096F8F3}"/>
    <hyperlink ref="U46" r:id="rId45" xr:uid="{44877009-2FBD-4724-9BEB-5094DE4485F7}"/>
    <hyperlink ref="V46" r:id="rId46" xr:uid="{223355EB-A5A2-4193-9E8A-0907583B93AE}"/>
    <hyperlink ref="U55" r:id="rId47" xr:uid="{7B5089C1-A072-4356-A161-96B21E375DFB}"/>
    <hyperlink ref="V55" r:id="rId48" xr:uid="{E71923D0-8B81-4A99-A23A-E7E2322DD638}"/>
    <hyperlink ref="B67" r:id="rId49" xr:uid="{650C56AF-BBC3-4A69-80F8-5634F6C14A5D}"/>
    <hyperlink ref="C67" r:id="rId50" xr:uid="{D42D3FEC-ED47-41BD-8096-32B6E582389D}"/>
    <hyperlink ref="D67" r:id="rId51" xr:uid="{5B0A22B7-2F44-44EF-89A5-473BAC7198A6}"/>
    <hyperlink ref="C76" r:id="rId52" xr:uid="{7785F814-0152-4FCE-8443-FF878EC12884}"/>
    <hyperlink ref="D76" r:id="rId53" xr:uid="{B05A0B77-2C30-4D50-B1F6-5856E82E938F}"/>
    <hyperlink ref="K67" r:id="rId54" xr:uid="{A36ACCCC-FC8C-4AD4-83A7-A223892D7EBC}"/>
    <hyperlink ref="L67" r:id="rId55" xr:uid="{2BACBD5B-1798-4B5A-A7C7-8B18691C51A8}"/>
    <hyperlink ref="M67" r:id="rId56" xr:uid="{10CA34B4-1CC9-49BF-92FB-C996527448DA}"/>
    <hyperlink ref="L76" r:id="rId57" xr:uid="{EFC1C98B-1A7A-4D25-AEC5-1321ADA18A5F}"/>
    <hyperlink ref="M76" r:id="rId58" xr:uid="{19107E18-E10B-4491-A106-CABA3FCAADC0}"/>
    <hyperlink ref="T67" r:id="rId59" xr:uid="{EABDC901-BF70-4FFA-B8AE-3A7CD37B2931}"/>
    <hyperlink ref="U67" r:id="rId60" xr:uid="{4E05900C-8F14-43CE-900D-306EDA9A7C08}"/>
    <hyperlink ref="V67" r:id="rId61" xr:uid="{12F86A08-FBEF-4C2D-AB67-031D7B040EC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DBDF7-D4A0-4810-9CA0-AD0DE84AAABE}">
  <dimension ref="A1:AA83"/>
  <sheetViews>
    <sheetView topLeftCell="A7" zoomScale="113" zoomScaleNormal="85" workbookViewId="0">
      <selection activeCell="E51" sqref="E51"/>
    </sheetView>
  </sheetViews>
  <sheetFormatPr defaultRowHeight="15" x14ac:dyDescent="0.25"/>
  <cols>
    <col min="1" max="1" width="26.28515625" bestFit="1" customWidth="1"/>
    <col min="3" max="3" width="17.7109375" customWidth="1"/>
    <col min="4" max="4" width="12.5703125" customWidth="1"/>
    <col min="10" max="10" width="26.42578125" bestFit="1" customWidth="1"/>
    <col min="12" max="12" width="13.5703125" customWidth="1"/>
    <col min="13" max="13" width="19.5703125" customWidth="1"/>
    <col min="19" max="19" width="26.42578125" bestFit="1" customWidth="1"/>
    <col min="21" max="21" width="19.28515625" customWidth="1"/>
    <col min="22" max="22" width="17.42578125" customWidth="1"/>
  </cols>
  <sheetData>
    <row r="1" spans="1:25" x14ac:dyDescent="0.25">
      <c r="A1" s="41" t="s">
        <v>183</v>
      </c>
      <c r="B1" s="41"/>
      <c r="C1" s="41"/>
      <c r="D1" s="41"/>
      <c r="E1" s="41"/>
      <c r="F1" s="41"/>
      <c r="G1" s="41"/>
      <c r="H1" s="41"/>
      <c r="I1" s="41"/>
      <c r="J1" s="41"/>
      <c r="K1" s="41"/>
    </row>
    <row r="2" spans="1:25" s="14" customFormat="1" x14ac:dyDescent="0.25">
      <c r="A2" s="14" t="s">
        <v>6</v>
      </c>
    </row>
    <row r="3" spans="1:25" x14ac:dyDescent="0.25">
      <c r="A3" t="s">
        <v>2</v>
      </c>
      <c r="B3" t="s">
        <v>46</v>
      </c>
      <c r="C3" t="s">
        <v>47</v>
      </c>
      <c r="D3" t="s">
        <v>48</v>
      </c>
      <c r="E3" t="s">
        <v>185</v>
      </c>
      <c r="J3" t="s">
        <v>3</v>
      </c>
      <c r="K3" t="s">
        <v>46</v>
      </c>
      <c r="L3" t="s">
        <v>47</v>
      </c>
      <c r="M3" t="s">
        <v>48</v>
      </c>
      <c r="N3" t="s">
        <v>198</v>
      </c>
      <c r="S3" t="s">
        <v>4</v>
      </c>
      <c r="T3" t="s">
        <v>46</v>
      </c>
      <c r="U3" t="s">
        <v>47</v>
      </c>
      <c r="V3" t="s">
        <v>48</v>
      </c>
      <c r="W3" t="s">
        <v>198</v>
      </c>
    </row>
    <row r="4" spans="1:25" x14ac:dyDescent="0.25">
      <c r="A4" t="s">
        <v>27</v>
      </c>
      <c r="B4" s="3" t="s">
        <v>11</v>
      </c>
      <c r="C4" s="3" t="s">
        <v>11</v>
      </c>
      <c r="D4" s="3" t="s">
        <v>11</v>
      </c>
      <c r="J4" t="s">
        <v>44</v>
      </c>
      <c r="K4" s="13">
        <v>0.94</v>
      </c>
      <c r="L4" s="13">
        <v>0.89</v>
      </c>
      <c r="M4" s="13">
        <v>0.78</v>
      </c>
      <c r="S4" t="s">
        <v>44</v>
      </c>
      <c r="T4" s="1" t="s">
        <v>109</v>
      </c>
      <c r="U4" s="38">
        <v>0.63</v>
      </c>
      <c r="V4" s="38">
        <v>0.86</v>
      </c>
    </row>
    <row r="5" spans="1:25" x14ac:dyDescent="0.25">
      <c r="A5" t="s">
        <v>44</v>
      </c>
      <c r="B5" s="13">
        <v>0.93</v>
      </c>
      <c r="C5" s="13">
        <v>0.91</v>
      </c>
      <c r="D5" s="13">
        <v>0.81</v>
      </c>
      <c r="J5" t="s">
        <v>62</v>
      </c>
      <c r="K5" s="12" t="s">
        <v>109</v>
      </c>
      <c r="L5" s="12" t="s">
        <v>192</v>
      </c>
      <c r="M5" s="13" t="s">
        <v>195</v>
      </c>
      <c r="S5" t="s">
        <v>62</v>
      </c>
      <c r="T5" s="1" t="s">
        <v>109</v>
      </c>
      <c r="U5" s="1" t="s">
        <v>206</v>
      </c>
      <c r="V5" s="1" t="s">
        <v>208</v>
      </c>
    </row>
    <row r="6" spans="1:25" x14ac:dyDescent="0.25">
      <c r="A6" t="s">
        <v>62</v>
      </c>
      <c r="B6" s="12" t="s">
        <v>109</v>
      </c>
      <c r="C6" s="12" t="s">
        <v>173</v>
      </c>
      <c r="D6" s="12" t="s">
        <v>187</v>
      </c>
      <c r="J6" t="s">
        <v>61</v>
      </c>
      <c r="K6" s="12" t="s">
        <v>191</v>
      </c>
      <c r="L6" s="12" t="s">
        <v>193</v>
      </c>
      <c r="M6" s="12" t="s">
        <v>196</v>
      </c>
      <c r="S6" t="s">
        <v>61</v>
      </c>
      <c r="T6" s="1" t="s">
        <v>204</v>
      </c>
      <c r="U6" s="1" t="s">
        <v>94</v>
      </c>
      <c r="V6" s="1" t="s">
        <v>209</v>
      </c>
    </row>
    <row r="7" spans="1:25" x14ac:dyDescent="0.25">
      <c r="A7" t="s">
        <v>61</v>
      </c>
      <c r="B7" s="12" t="s">
        <v>184</v>
      </c>
      <c r="C7" s="12" t="s">
        <v>186</v>
      </c>
      <c r="D7" s="12" t="s">
        <v>188</v>
      </c>
      <c r="J7" t="s">
        <v>120</v>
      </c>
      <c r="K7" s="12" t="s">
        <v>170</v>
      </c>
      <c r="L7" s="12" t="s">
        <v>194</v>
      </c>
      <c r="M7" s="12" t="s">
        <v>197</v>
      </c>
      <c r="S7" t="s">
        <v>120</v>
      </c>
      <c r="T7" s="1" t="s">
        <v>205</v>
      </c>
      <c r="U7" s="1" t="s">
        <v>207</v>
      </c>
      <c r="V7" s="1" t="s">
        <v>210</v>
      </c>
    </row>
    <row r="8" spans="1:25" x14ac:dyDescent="0.25">
      <c r="A8" t="s">
        <v>120</v>
      </c>
      <c r="B8" s="12" t="s">
        <v>170</v>
      </c>
      <c r="C8" s="12" t="s">
        <v>171</v>
      </c>
      <c r="D8" s="12" t="s">
        <v>172</v>
      </c>
      <c r="J8" t="s">
        <v>64</v>
      </c>
      <c r="K8" s="47" t="s">
        <v>199</v>
      </c>
      <c r="L8" s="47"/>
      <c r="M8" s="47"/>
      <c r="S8" t="s">
        <v>64</v>
      </c>
      <c r="T8" s="41" t="s">
        <v>212</v>
      </c>
      <c r="U8" s="41"/>
      <c r="V8" s="41"/>
    </row>
    <row r="9" spans="1:25" x14ac:dyDescent="0.25">
      <c r="A9" t="s">
        <v>64</v>
      </c>
      <c r="B9" s="47" t="s">
        <v>189</v>
      </c>
      <c r="C9" s="47"/>
      <c r="D9" s="47"/>
      <c r="J9" s="47" t="s">
        <v>200</v>
      </c>
      <c r="K9" s="20"/>
      <c r="L9" s="50" t="s">
        <v>201</v>
      </c>
      <c r="M9" s="50" t="s">
        <v>202</v>
      </c>
      <c r="S9" s="47" t="s">
        <v>200</v>
      </c>
      <c r="T9" s="39"/>
      <c r="U9" s="52" t="s">
        <v>213</v>
      </c>
      <c r="V9" s="52" t="s">
        <v>214</v>
      </c>
    </row>
    <row r="10" spans="1:25" x14ac:dyDescent="0.25">
      <c r="A10" t="s">
        <v>65</v>
      </c>
      <c r="B10" s="20"/>
      <c r="C10" s="13">
        <v>0.11</v>
      </c>
      <c r="D10" s="13">
        <v>0.17</v>
      </c>
      <c r="J10" s="47"/>
      <c r="K10" s="20"/>
      <c r="L10" s="50"/>
      <c r="M10" s="50"/>
      <c r="S10" s="47"/>
      <c r="T10" s="39"/>
      <c r="U10" s="52"/>
      <c r="V10" s="52"/>
    </row>
    <row r="11" spans="1:25" ht="27.75" customHeight="1" x14ac:dyDescent="0.25">
      <c r="A11" t="s">
        <v>66</v>
      </c>
      <c r="B11" s="20"/>
      <c r="C11" s="13">
        <v>0.25</v>
      </c>
      <c r="D11" s="13">
        <v>0</v>
      </c>
      <c r="J11" s="47"/>
      <c r="K11" s="20"/>
      <c r="L11" s="50"/>
      <c r="M11" s="50"/>
      <c r="S11" s="47"/>
      <c r="T11" s="39"/>
      <c r="U11" s="52"/>
      <c r="V11" s="52"/>
    </row>
    <row r="12" spans="1:25" x14ac:dyDescent="0.25">
      <c r="A12" t="s">
        <v>67</v>
      </c>
      <c r="B12" s="20"/>
      <c r="C12" s="13">
        <v>0</v>
      </c>
      <c r="D12" s="13">
        <v>0</v>
      </c>
      <c r="J12" t="s">
        <v>45</v>
      </c>
      <c r="K12" s="12"/>
      <c r="L12" s="9" t="s">
        <v>11</v>
      </c>
      <c r="M12" s="3" t="s">
        <v>11</v>
      </c>
      <c r="S12" t="s">
        <v>45</v>
      </c>
      <c r="U12" s="1"/>
      <c r="V12" s="1"/>
    </row>
    <row r="13" spans="1:25" x14ac:dyDescent="0.25">
      <c r="A13" t="s">
        <v>45</v>
      </c>
      <c r="B13" s="12"/>
      <c r="C13" s="3" t="s">
        <v>11</v>
      </c>
      <c r="D13" s="2" t="s">
        <v>11</v>
      </c>
      <c r="J13" t="s">
        <v>49</v>
      </c>
      <c r="K13" s="12"/>
      <c r="L13" s="12"/>
      <c r="M13" s="12"/>
      <c r="T13" s="1"/>
      <c r="U13" s="1"/>
      <c r="V13" s="1"/>
    </row>
    <row r="14" spans="1:25" x14ac:dyDescent="0.25">
      <c r="A14" t="s">
        <v>49</v>
      </c>
      <c r="J14" s="46" t="s">
        <v>203</v>
      </c>
      <c r="K14" s="46"/>
      <c r="L14" s="46"/>
      <c r="M14" s="46"/>
      <c r="N14" s="46"/>
      <c r="O14" s="46"/>
      <c r="P14" s="46"/>
      <c r="S14" t="s">
        <v>49</v>
      </c>
    </row>
    <row r="15" spans="1:25" x14ac:dyDescent="0.25">
      <c r="A15" s="46" t="s">
        <v>190</v>
      </c>
      <c r="B15" s="46"/>
      <c r="C15" s="46"/>
      <c r="D15" s="46"/>
      <c r="E15" s="46"/>
      <c r="F15" s="46"/>
      <c r="G15" s="46"/>
      <c r="J15" s="46"/>
      <c r="K15" s="46"/>
      <c r="L15" s="46"/>
      <c r="M15" s="46"/>
      <c r="N15" s="46"/>
      <c r="O15" s="46"/>
      <c r="P15" s="46"/>
      <c r="S15" s="46" t="s">
        <v>211</v>
      </c>
      <c r="T15" s="46"/>
      <c r="U15" s="46"/>
      <c r="V15" s="46"/>
      <c r="W15" s="46"/>
      <c r="X15" s="46"/>
      <c r="Y15" s="46"/>
    </row>
    <row r="16" spans="1:25" x14ac:dyDescent="0.25">
      <c r="A16" s="46"/>
      <c r="B16" s="46"/>
      <c r="C16" s="46"/>
      <c r="D16" s="46"/>
      <c r="E16" s="46"/>
      <c r="F16" s="46"/>
      <c r="G16" s="46"/>
      <c r="J16" s="46"/>
      <c r="K16" s="46"/>
      <c r="L16" s="46"/>
      <c r="M16" s="46"/>
      <c r="N16" s="46"/>
      <c r="O16" s="46"/>
      <c r="P16" s="46"/>
      <c r="S16" s="46"/>
      <c r="T16" s="46"/>
      <c r="U16" s="46"/>
      <c r="V16" s="46"/>
      <c r="W16" s="46"/>
      <c r="X16" s="46"/>
      <c r="Y16" s="46"/>
    </row>
    <row r="17" spans="1:27" x14ac:dyDescent="0.25">
      <c r="A17" s="46"/>
      <c r="B17" s="46"/>
      <c r="C17" s="46"/>
      <c r="D17" s="46"/>
      <c r="E17" s="46"/>
      <c r="F17" s="46"/>
      <c r="G17" s="46"/>
      <c r="J17" s="46"/>
      <c r="K17" s="46"/>
      <c r="L17" s="46"/>
      <c r="M17" s="46"/>
      <c r="N17" s="46"/>
      <c r="O17" s="46"/>
      <c r="P17" s="46"/>
      <c r="S17" s="46"/>
      <c r="T17" s="46"/>
      <c r="U17" s="46"/>
      <c r="V17" s="46"/>
      <c r="W17" s="46"/>
      <c r="X17" s="46"/>
      <c r="Y17" s="46"/>
    </row>
    <row r="18" spans="1:27" x14ac:dyDescent="0.25">
      <c r="A18" s="46"/>
      <c r="B18" s="46"/>
      <c r="C18" s="46"/>
      <c r="D18" s="46"/>
      <c r="E18" s="46"/>
      <c r="F18" s="46"/>
      <c r="G18" s="46"/>
      <c r="J18" s="46"/>
      <c r="K18" s="46"/>
      <c r="L18" s="46"/>
      <c r="M18" s="46"/>
      <c r="N18" s="46"/>
      <c r="O18" s="46"/>
      <c r="P18" s="46"/>
      <c r="S18" s="46"/>
      <c r="T18" s="46"/>
      <c r="U18" s="46"/>
      <c r="V18" s="46"/>
      <c r="W18" s="46"/>
      <c r="X18" s="46"/>
      <c r="Y18" s="46"/>
    </row>
    <row r="19" spans="1:27" x14ac:dyDescent="0.25">
      <c r="A19" s="46"/>
      <c r="B19" s="46"/>
      <c r="C19" s="46"/>
      <c r="D19" s="46"/>
      <c r="E19" s="46"/>
      <c r="F19" s="46"/>
      <c r="G19" s="46"/>
      <c r="J19" s="46"/>
      <c r="K19" s="46"/>
      <c r="L19" s="46"/>
      <c r="M19" s="46"/>
      <c r="N19" s="46"/>
      <c r="O19" s="46"/>
      <c r="P19" s="46"/>
      <c r="S19" s="46"/>
      <c r="T19" s="46"/>
      <c r="U19" s="46"/>
      <c r="V19" s="46"/>
      <c r="W19" s="46"/>
      <c r="X19" s="46"/>
      <c r="Y19" s="46"/>
    </row>
    <row r="20" spans="1:27" x14ac:dyDescent="0.25">
      <c r="A20" s="46"/>
      <c r="B20" s="46"/>
      <c r="C20" s="46"/>
      <c r="D20" s="46"/>
      <c r="E20" s="46"/>
      <c r="F20" s="46"/>
      <c r="G20" s="46"/>
      <c r="J20" s="46"/>
      <c r="K20" s="46"/>
      <c r="L20" s="46"/>
      <c r="M20" s="46"/>
      <c r="N20" s="46"/>
      <c r="O20" s="46"/>
      <c r="P20" s="46"/>
      <c r="S20" s="46"/>
      <c r="T20" s="46"/>
      <c r="U20" s="46"/>
      <c r="V20" s="46"/>
      <c r="W20" s="46"/>
      <c r="X20" s="46"/>
      <c r="Y20" s="46"/>
    </row>
    <row r="23" spans="1:27" x14ac:dyDescent="0.25">
      <c r="A23" s="15" t="s">
        <v>7</v>
      </c>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spans="1:27" x14ac:dyDescent="0.25">
      <c r="A24" t="s">
        <v>2</v>
      </c>
      <c r="B24" t="s">
        <v>46</v>
      </c>
      <c r="C24" t="s">
        <v>47</v>
      </c>
      <c r="D24" t="s">
        <v>48</v>
      </c>
      <c r="E24" t="s">
        <v>198</v>
      </c>
      <c r="J24" t="s">
        <v>3</v>
      </c>
      <c r="K24" t="s">
        <v>46</v>
      </c>
      <c r="L24" t="s">
        <v>47</v>
      </c>
      <c r="M24" t="s">
        <v>48</v>
      </c>
      <c r="S24" t="s">
        <v>4</v>
      </c>
      <c r="T24" t="s">
        <v>46</v>
      </c>
      <c r="U24" t="s">
        <v>47</v>
      </c>
      <c r="V24" t="s">
        <v>48</v>
      </c>
      <c r="W24" t="s">
        <v>198</v>
      </c>
    </row>
    <row r="25" spans="1:27" x14ac:dyDescent="0.25">
      <c r="A25" t="s">
        <v>44</v>
      </c>
      <c r="B25" s="37">
        <v>0.9</v>
      </c>
      <c r="C25" s="37">
        <v>0.77</v>
      </c>
      <c r="D25" s="37">
        <v>0.92</v>
      </c>
      <c r="J25" t="s">
        <v>44</v>
      </c>
      <c r="K25" s="12" t="s">
        <v>109</v>
      </c>
      <c r="L25" s="12" t="s">
        <v>109</v>
      </c>
      <c r="M25" s="13">
        <v>0.93</v>
      </c>
      <c r="S25" t="s">
        <v>44</v>
      </c>
      <c r="T25" s="37" t="s">
        <v>109</v>
      </c>
      <c r="U25" s="37">
        <v>0.8</v>
      </c>
      <c r="V25" s="37">
        <v>0.64</v>
      </c>
    </row>
    <row r="26" spans="1:27" x14ac:dyDescent="0.25">
      <c r="A26" t="s">
        <v>62</v>
      </c>
      <c r="B26" s="33" t="s">
        <v>109</v>
      </c>
      <c r="C26" s="33" t="s">
        <v>225</v>
      </c>
      <c r="D26" s="33" t="s">
        <v>109</v>
      </c>
      <c r="J26" t="s">
        <v>62</v>
      </c>
      <c r="K26" s="12" t="s">
        <v>109</v>
      </c>
      <c r="L26" s="12" t="s">
        <v>109</v>
      </c>
      <c r="M26" s="12" t="s">
        <v>109</v>
      </c>
      <c r="S26" t="s">
        <v>62</v>
      </c>
      <c r="T26" s="33" t="s">
        <v>109</v>
      </c>
      <c r="U26" s="33" t="s">
        <v>235</v>
      </c>
      <c r="V26" s="33" t="s">
        <v>238</v>
      </c>
    </row>
    <row r="27" spans="1:27" x14ac:dyDescent="0.25">
      <c r="A27" t="s">
        <v>61</v>
      </c>
      <c r="B27" s="33" t="s">
        <v>223</v>
      </c>
      <c r="C27" s="33" t="s">
        <v>226</v>
      </c>
      <c r="D27" s="33" t="s">
        <v>228</v>
      </c>
      <c r="J27" t="s">
        <v>61</v>
      </c>
      <c r="K27" s="12" t="s">
        <v>109</v>
      </c>
      <c r="L27" s="12" t="s">
        <v>215</v>
      </c>
      <c r="M27" s="12" t="s">
        <v>217</v>
      </c>
      <c r="S27" t="s">
        <v>61</v>
      </c>
      <c r="T27" s="33" t="s">
        <v>233</v>
      </c>
      <c r="U27" s="33" t="s">
        <v>236</v>
      </c>
      <c r="V27" s="33" t="s">
        <v>239</v>
      </c>
    </row>
    <row r="28" spans="1:27" x14ac:dyDescent="0.25">
      <c r="A28" t="s">
        <v>120</v>
      </c>
      <c r="B28" s="33" t="s">
        <v>224</v>
      </c>
      <c r="C28" s="33" t="s">
        <v>227</v>
      </c>
      <c r="D28" s="33" t="s">
        <v>229</v>
      </c>
      <c r="J28" t="s">
        <v>120</v>
      </c>
      <c r="K28" s="12" t="s">
        <v>109</v>
      </c>
      <c r="L28" s="12" t="s">
        <v>216</v>
      </c>
      <c r="M28" s="12" t="s">
        <v>218</v>
      </c>
      <c r="S28" t="s">
        <v>120</v>
      </c>
      <c r="T28" s="33" t="s">
        <v>234</v>
      </c>
      <c r="U28" s="33" t="s">
        <v>237</v>
      </c>
      <c r="V28" s="33" t="s">
        <v>240</v>
      </c>
    </row>
    <row r="29" spans="1:27" x14ac:dyDescent="0.25">
      <c r="A29" t="s">
        <v>64</v>
      </c>
      <c r="B29" s="48" t="s">
        <v>212</v>
      </c>
      <c r="C29" s="48"/>
      <c r="D29" s="48"/>
      <c r="J29" t="s">
        <v>64</v>
      </c>
      <c r="K29" s="41" t="s">
        <v>219</v>
      </c>
      <c r="L29" s="41"/>
      <c r="M29" s="41"/>
      <c r="S29" t="s">
        <v>64</v>
      </c>
      <c r="T29" s="48" t="s">
        <v>212</v>
      </c>
      <c r="U29" s="48"/>
      <c r="V29" s="48"/>
    </row>
    <row r="30" spans="1:27" x14ac:dyDescent="0.25">
      <c r="A30" s="47" t="s">
        <v>200</v>
      </c>
      <c r="B30" s="35"/>
      <c r="C30" s="52" t="s">
        <v>231</v>
      </c>
      <c r="D30" s="52" t="s">
        <v>232</v>
      </c>
      <c r="J30" s="47" t="s">
        <v>200</v>
      </c>
      <c r="K30" s="18"/>
      <c r="L30" s="51" t="s">
        <v>220</v>
      </c>
      <c r="M30" s="52" t="s">
        <v>221</v>
      </c>
      <c r="S30" s="47" t="s">
        <v>200</v>
      </c>
      <c r="T30" s="18"/>
      <c r="U30" s="51" t="s">
        <v>242</v>
      </c>
      <c r="V30" s="51" t="s">
        <v>243</v>
      </c>
    </row>
    <row r="31" spans="1:27" x14ac:dyDescent="0.25">
      <c r="A31" s="47"/>
      <c r="B31" s="35"/>
      <c r="C31" s="52"/>
      <c r="D31" s="52"/>
      <c r="J31" s="47"/>
      <c r="K31" s="18"/>
      <c r="L31" s="51"/>
      <c r="M31" s="52"/>
      <c r="S31" s="47"/>
      <c r="T31" s="18"/>
      <c r="U31" s="51"/>
      <c r="V31" s="51"/>
    </row>
    <row r="32" spans="1:27" x14ac:dyDescent="0.25">
      <c r="A32" s="47"/>
      <c r="B32" s="35"/>
      <c r="C32" s="52"/>
      <c r="D32" s="52"/>
      <c r="J32" s="47"/>
      <c r="K32" s="18"/>
      <c r="L32" s="51"/>
      <c r="M32" s="52"/>
      <c r="S32" s="47"/>
      <c r="T32" s="18"/>
      <c r="U32" s="51"/>
      <c r="V32" s="51"/>
    </row>
    <row r="33" spans="1:27" x14ac:dyDescent="0.25">
      <c r="A33" t="s">
        <v>45</v>
      </c>
      <c r="B33" s="33"/>
      <c r="C33" s="36" t="s">
        <v>11</v>
      </c>
      <c r="D33" s="36" t="s">
        <v>11</v>
      </c>
      <c r="J33" t="s">
        <v>45</v>
      </c>
      <c r="L33" s="3" t="s">
        <v>11</v>
      </c>
      <c r="M33" s="3" t="s">
        <v>11</v>
      </c>
      <c r="S33" t="s">
        <v>45</v>
      </c>
      <c r="U33" s="36" t="s">
        <v>11</v>
      </c>
      <c r="V33" s="36" t="s">
        <v>11</v>
      </c>
    </row>
    <row r="34" spans="1:27" x14ac:dyDescent="0.25">
      <c r="J34" t="s">
        <v>49</v>
      </c>
      <c r="S34" t="s">
        <v>49</v>
      </c>
    </row>
    <row r="35" spans="1:27" x14ac:dyDescent="0.25">
      <c r="A35" t="s">
        <v>49</v>
      </c>
    </row>
    <row r="36" spans="1:27" x14ac:dyDescent="0.25">
      <c r="A36" s="46" t="s">
        <v>230</v>
      </c>
      <c r="B36" s="46"/>
      <c r="C36" s="46"/>
      <c r="D36" s="46"/>
      <c r="E36" s="46"/>
      <c r="F36" s="46"/>
      <c r="G36" s="46"/>
      <c r="J36" s="46" t="s">
        <v>222</v>
      </c>
      <c r="K36" s="46"/>
      <c r="L36" s="46"/>
      <c r="M36" s="46"/>
      <c r="N36" s="46"/>
      <c r="O36" s="46"/>
      <c r="P36" s="46"/>
      <c r="S36" s="46" t="s">
        <v>241</v>
      </c>
      <c r="T36" s="46"/>
      <c r="U36" s="46"/>
      <c r="V36" s="46"/>
      <c r="W36" s="46"/>
      <c r="X36" s="46"/>
      <c r="Y36" s="46"/>
    </row>
    <row r="37" spans="1:27" x14ac:dyDescent="0.25">
      <c r="A37" s="46"/>
      <c r="B37" s="46"/>
      <c r="C37" s="46"/>
      <c r="D37" s="46"/>
      <c r="E37" s="46"/>
      <c r="F37" s="46"/>
      <c r="G37" s="46"/>
      <c r="J37" s="46"/>
      <c r="K37" s="46"/>
      <c r="L37" s="46"/>
      <c r="M37" s="46"/>
      <c r="N37" s="46"/>
      <c r="O37" s="46"/>
      <c r="P37" s="46"/>
      <c r="S37" s="46"/>
      <c r="T37" s="46"/>
      <c r="U37" s="46"/>
      <c r="V37" s="46"/>
      <c r="W37" s="46"/>
      <c r="X37" s="46"/>
      <c r="Y37" s="46"/>
    </row>
    <row r="38" spans="1:27" x14ac:dyDescent="0.25">
      <c r="A38" s="46"/>
      <c r="B38" s="46"/>
      <c r="C38" s="46"/>
      <c r="D38" s="46"/>
      <c r="E38" s="46"/>
      <c r="F38" s="46"/>
      <c r="G38" s="46"/>
      <c r="J38" s="46"/>
      <c r="K38" s="46"/>
      <c r="L38" s="46"/>
      <c r="M38" s="46"/>
      <c r="N38" s="46"/>
      <c r="O38" s="46"/>
      <c r="P38" s="46"/>
      <c r="S38" s="46"/>
      <c r="T38" s="46"/>
      <c r="U38" s="46"/>
      <c r="V38" s="46"/>
      <c r="W38" s="46"/>
      <c r="X38" s="46"/>
      <c r="Y38" s="46"/>
    </row>
    <row r="39" spans="1:27" x14ac:dyDescent="0.25">
      <c r="A39" s="46"/>
      <c r="B39" s="46"/>
      <c r="C39" s="46"/>
      <c r="D39" s="46"/>
      <c r="E39" s="46"/>
      <c r="F39" s="46"/>
      <c r="G39" s="46"/>
      <c r="J39" s="46"/>
      <c r="K39" s="46"/>
      <c r="L39" s="46"/>
      <c r="M39" s="46"/>
      <c r="N39" s="46"/>
      <c r="O39" s="46"/>
      <c r="P39" s="46"/>
      <c r="S39" s="46"/>
      <c r="T39" s="46"/>
      <c r="U39" s="46"/>
      <c r="V39" s="46"/>
      <c r="W39" s="46"/>
      <c r="X39" s="46"/>
      <c r="Y39" s="46"/>
    </row>
    <row r="40" spans="1:27" x14ac:dyDescent="0.25">
      <c r="A40" s="46"/>
      <c r="B40" s="46"/>
      <c r="C40" s="46"/>
      <c r="D40" s="46"/>
      <c r="E40" s="46"/>
      <c r="F40" s="46"/>
      <c r="G40" s="46"/>
      <c r="J40" s="46"/>
      <c r="K40" s="46"/>
      <c r="L40" s="46"/>
      <c r="M40" s="46"/>
      <c r="N40" s="46"/>
      <c r="O40" s="46"/>
      <c r="P40" s="46"/>
      <c r="S40" s="46"/>
      <c r="T40" s="46"/>
      <c r="U40" s="46"/>
      <c r="V40" s="46"/>
      <c r="W40" s="46"/>
      <c r="X40" s="46"/>
      <c r="Y40" s="46"/>
    </row>
    <row r="41" spans="1:27" x14ac:dyDescent="0.25">
      <c r="A41" s="46"/>
      <c r="B41" s="46"/>
      <c r="C41" s="46"/>
      <c r="D41" s="46"/>
      <c r="E41" s="46"/>
      <c r="F41" s="46"/>
      <c r="G41" s="46"/>
      <c r="J41" s="46"/>
      <c r="K41" s="46"/>
      <c r="L41" s="46"/>
      <c r="M41" s="46"/>
      <c r="N41" s="46"/>
      <c r="O41" s="46"/>
      <c r="P41" s="46"/>
      <c r="S41" s="46"/>
      <c r="T41" s="46"/>
      <c r="U41" s="46"/>
      <c r="V41" s="46"/>
      <c r="W41" s="46"/>
      <c r="X41" s="46"/>
      <c r="Y41" s="46"/>
    </row>
    <row r="44" spans="1:27" x14ac:dyDescent="0.25">
      <c r="A44" s="16" t="s">
        <v>8</v>
      </c>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x14ac:dyDescent="0.25">
      <c r="A45" t="s">
        <v>2</v>
      </c>
      <c r="B45" t="s">
        <v>46</v>
      </c>
      <c r="C45" t="s">
        <v>47</v>
      </c>
      <c r="D45" t="s">
        <v>48</v>
      </c>
      <c r="E45" t="s">
        <v>292</v>
      </c>
      <c r="J45" t="s">
        <v>3</v>
      </c>
      <c r="K45" t="s">
        <v>46</v>
      </c>
      <c r="L45" t="s">
        <v>47</v>
      </c>
      <c r="M45" t="s">
        <v>48</v>
      </c>
      <c r="N45" t="s">
        <v>303</v>
      </c>
      <c r="S45" t="s">
        <v>4</v>
      </c>
      <c r="T45" t="s">
        <v>46</v>
      </c>
      <c r="U45" t="s">
        <v>47</v>
      </c>
      <c r="V45" t="s">
        <v>48</v>
      </c>
      <c r="W45" t="s">
        <v>311</v>
      </c>
    </row>
    <row r="46" spans="1:27" x14ac:dyDescent="0.25">
      <c r="A46" t="s">
        <v>44</v>
      </c>
      <c r="B46" s="13">
        <v>0.92</v>
      </c>
      <c r="C46" s="13">
        <v>0.76</v>
      </c>
      <c r="D46" s="13">
        <v>0.53</v>
      </c>
      <c r="J46" t="s">
        <v>44</v>
      </c>
      <c r="K46" s="33" t="s">
        <v>109</v>
      </c>
      <c r="L46" s="37">
        <v>0.65</v>
      </c>
      <c r="M46" s="37">
        <v>0.84</v>
      </c>
      <c r="S46" t="s">
        <v>44</v>
      </c>
      <c r="T46" s="33" t="s">
        <v>109</v>
      </c>
      <c r="U46" s="37">
        <v>0.82</v>
      </c>
      <c r="V46" s="37">
        <v>0.85</v>
      </c>
    </row>
    <row r="47" spans="1:27" x14ac:dyDescent="0.25">
      <c r="A47" t="s">
        <v>62</v>
      </c>
      <c r="B47" s="12" t="s">
        <v>109</v>
      </c>
      <c r="C47" s="12" t="s">
        <v>295</v>
      </c>
      <c r="D47" s="12" t="s">
        <v>297</v>
      </c>
      <c r="J47" t="s">
        <v>62</v>
      </c>
      <c r="K47" s="33" t="s">
        <v>109</v>
      </c>
      <c r="L47" s="33" t="s">
        <v>304</v>
      </c>
      <c r="M47" s="33" t="s">
        <v>306</v>
      </c>
      <c r="S47" t="s">
        <v>62</v>
      </c>
      <c r="T47" s="33" t="s">
        <v>109</v>
      </c>
      <c r="U47" s="33" t="s">
        <v>182</v>
      </c>
      <c r="V47" s="33" t="s">
        <v>312</v>
      </c>
    </row>
    <row r="48" spans="1:27" x14ac:dyDescent="0.25">
      <c r="A48" t="s">
        <v>61</v>
      </c>
      <c r="B48" s="12" t="s">
        <v>293</v>
      </c>
      <c r="C48" s="12" t="s">
        <v>94</v>
      </c>
      <c r="D48" s="12" t="s">
        <v>94</v>
      </c>
      <c r="J48" t="s">
        <v>61</v>
      </c>
      <c r="K48" s="33" t="s">
        <v>109</v>
      </c>
      <c r="L48" s="33" t="s">
        <v>94</v>
      </c>
      <c r="M48" s="33" t="s">
        <v>94</v>
      </c>
      <c r="S48" t="s">
        <v>61</v>
      </c>
      <c r="T48" s="33" t="s">
        <v>109</v>
      </c>
      <c r="U48" s="33" t="s">
        <v>94</v>
      </c>
      <c r="V48" s="33" t="s">
        <v>313</v>
      </c>
    </row>
    <row r="49" spans="1:25" x14ac:dyDescent="0.25">
      <c r="A49" t="s">
        <v>120</v>
      </c>
      <c r="B49" s="12" t="s">
        <v>294</v>
      </c>
      <c r="C49" s="12" t="s">
        <v>296</v>
      </c>
      <c r="D49" s="12" t="s">
        <v>298</v>
      </c>
      <c r="J49" t="s">
        <v>120</v>
      </c>
      <c r="K49" s="33" t="s">
        <v>109</v>
      </c>
      <c r="L49" s="33" t="s">
        <v>305</v>
      </c>
      <c r="M49" s="33" t="s">
        <v>307</v>
      </c>
      <c r="S49" t="s">
        <v>120</v>
      </c>
      <c r="T49" s="33" t="s">
        <v>109</v>
      </c>
      <c r="U49" s="33" t="s">
        <v>158</v>
      </c>
      <c r="V49" s="33" t="s">
        <v>314</v>
      </c>
    </row>
    <row r="50" spans="1:25" x14ac:dyDescent="0.25">
      <c r="A50" t="s">
        <v>64</v>
      </c>
      <c r="B50" s="47" t="s">
        <v>199</v>
      </c>
      <c r="C50" s="47"/>
      <c r="D50" s="47"/>
      <c r="J50" t="s">
        <v>64</v>
      </c>
      <c r="K50" s="48" t="s">
        <v>309</v>
      </c>
      <c r="L50" s="48"/>
      <c r="M50" s="48"/>
      <c r="S50" t="s">
        <v>64</v>
      </c>
      <c r="T50" s="48" t="s">
        <v>316</v>
      </c>
      <c r="U50" s="48"/>
      <c r="V50" s="48"/>
    </row>
    <row r="51" spans="1:25" x14ac:dyDescent="0.25">
      <c r="A51" t="s">
        <v>267</v>
      </c>
      <c r="B51" s="20"/>
      <c r="C51" s="12" t="s">
        <v>273</v>
      </c>
      <c r="D51" s="12" t="s">
        <v>273</v>
      </c>
      <c r="J51" t="s">
        <v>267</v>
      </c>
      <c r="K51" s="35"/>
      <c r="L51" s="33"/>
      <c r="M51" s="33"/>
      <c r="S51" t="s">
        <v>267</v>
      </c>
      <c r="T51" s="35"/>
      <c r="U51" s="33"/>
      <c r="V51" s="33"/>
    </row>
    <row r="52" spans="1:25" x14ac:dyDescent="0.25">
      <c r="A52" t="s">
        <v>268</v>
      </c>
      <c r="B52" s="20"/>
      <c r="C52" s="12" t="s">
        <v>273</v>
      </c>
      <c r="D52" s="12" t="s">
        <v>302</v>
      </c>
      <c r="J52" t="s">
        <v>268</v>
      </c>
      <c r="K52" s="35"/>
      <c r="L52" s="33"/>
      <c r="M52" s="33"/>
      <c r="S52" t="s">
        <v>268</v>
      </c>
      <c r="T52" s="35"/>
      <c r="U52" s="33"/>
      <c r="V52" s="33"/>
    </row>
    <row r="53" spans="1:25" x14ac:dyDescent="0.25">
      <c r="A53" t="s">
        <v>269</v>
      </c>
      <c r="B53" s="20"/>
      <c r="C53" s="12" t="s">
        <v>300</v>
      </c>
      <c r="D53" s="12">
        <v>1</v>
      </c>
      <c r="J53" t="s">
        <v>269</v>
      </c>
      <c r="K53" s="35"/>
      <c r="L53" s="33" t="s">
        <v>310</v>
      </c>
      <c r="M53" s="33" t="s">
        <v>310</v>
      </c>
      <c r="S53" t="s">
        <v>269</v>
      </c>
      <c r="T53" s="35"/>
      <c r="U53" s="33" t="s">
        <v>310</v>
      </c>
      <c r="V53" s="33" t="s">
        <v>310</v>
      </c>
    </row>
    <row r="54" spans="1:25" x14ac:dyDescent="0.25">
      <c r="A54" t="s">
        <v>287</v>
      </c>
      <c r="B54" s="20"/>
      <c r="C54" s="12" t="s">
        <v>301</v>
      </c>
      <c r="D54" s="12">
        <v>3</v>
      </c>
      <c r="J54" t="s">
        <v>287</v>
      </c>
      <c r="K54" s="35"/>
      <c r="L54" s="33"/>
      <c r="M54" s="33"/>
      <c r="S54" t="s">
        <v>287</v>
      </c>
      <c r="T54" s="35"/>
      <c r="U54" s="33"/>
      <c r="V54" s="33"/>
    </row>
    <row r="55" spans="1:25" x14ac:dyDescent="0.25">
      <c r="A55" t="s">
        <v>45</v>
      </c>
      <c r="B55" s="12"/>
      <c r="C55" s="3" t="s">
        <v>11</v>
      </c>
      <c r="D55" s="3" t="s">
        <v>11</v>
      </c>
      <c r="J55" t="s">
        <v>45</v>
      </c>
      <c r="K55" s="33"/>
      <c r="L55" s="36" t="s">
        <v>11</v>
      </c>
      <c r="M55" s="36" t="s">
        <v>11</v>
      </c>
      <c r="S55" t="s">
        <v>45</v>
      </c>
      <c r="T55" s="33"/>
      <c r="U55" s="36" t="s">
        <v>11</v>
      </c>
      <c r="V55" s="36" t="s">
        <v>11</v>
      </c>
    </row>
    <row r="56" spans="1:25" x14ac:dyDescent="0.25">
      <c r="A56" t="s">
        <v>49</v>
      </c>
      <c r="J56" t="s">
        <v>49</v>
      </c>
      <c r="S56" t="s">
        <v>49</v>
      </c>
    </row>
    <row r="57" spans="1:25" x14ac:dyDescent="0.25">
      <c r="A57" s="46" t="s">
        <v>299</v>
      </c>
      <c r="B57" s="46"/>
      <c r="C57" s="46"/>
      <c r="D57" s="46"/>
      <c r="E57" s="46"/>
      <c r="F57" s="46"/>
      <c r="G57" s="46"/>
      <c r="J57" s="46" t="s">
        <v>308</v>
      </c>
      <c r="K57" s="46"/>
      <c r="L57" s="46"/>
      <c r="M57" s="46"/>
      <c r="N57" s="46"/>
      <c r="O57" s="46"/>
      <c r="P57" s="46"/>
      <c r="S57" s="46" t="s">
        <v>315</v>
      </c>
      <c r="T57" s="46"/>
      <c r="U57" s="46"/>
      <c r="V57" s="46"/>
      <c r="W57" s="46"/>
      <c r="X57" s="46"/>
      <c r="Y57" s="46"/>
    </row>
    <row r="58" spans="1:25" x14ac:dyDescent="0.25">
      <c r="A58" s="46"/>
      <c r="B58" s="46"/>
      <c r="C58" s="46"/>
      <c r="D58" s="46"/>
      <c r="E58" s="46"/>
      <c r="F58" s="46"/>
      <c r="G58" s="46"/>
      <c r="J58" s="46"/>
      <c r="K58" s="46"/>
      <c r="L58" s="46"/>
      <c r="M58" s="46"/>
      <c r="N58" s="46"/>
      <c r="O58" s="46"/>
      <c r="P58" s="46"/>
      <c r="S58" s="46"/>
      <c r="T58" s="46"/>
      <c r="U58" s="46"/>
      <c r="V58" s="46"/>
      <c r="W58" s="46"/>
      <c r="X58" s="46"/>
      <c r="Y58" s="46"/>
    </row>
    <row r="59" spans="1:25" x14ac:dyDescent="0.25">
      <c r="A59" s="46"/>
      <c r="B59" s="46"/>
      <c r="C59" s="46"/>
      <c r="D59" s="46"/>
      <c r="E59" s="46"/>
      <c r="F59" s="46"/>
      <c r="G59" s="46"/>
      <c r="J59" s="46"/>
      <c r="K59" s="46"/>
      <c r="L59" s="46"/>
      <c r="M59" s="46"/>
      <c r="N59" s="46"/>
      <c r="O59" s="46"/>
      <c r="P59" s="46"/>
      <c r="S59" s="46"/>
      <c r="T59" s="46"/>
      <c r="U59" s="46"/>
      <c r="V59" s="46"/>
      <c r="W59" s="46"/>
      <c r="X59" s="46"/>
      <c r="Y59" s="46"/>
    </row>
    <row r="60" spans="1:25" x14ac:dyDescent="0.25">
      <c r="A60" s="46"/>
      <c r="B60" s="46"/>
      <c r="C60" s="46"/>
      <c r="D60" s="46"/>
      <c r="E60" s="46"/>
      <c r="F60" s="46"/>
      <c r="G60" s="46"/>
      <c r="J60" s="46"/>
      <c r="K60" s="46"/>
      <c r="L60" s="46"/>
      <c r="M60" s="46"/>
      <c r="N60" s="46"/>
      <c r="O60" s="46"/>
      <c r="P60" s="46"/>
      <c r="S60" s="46"/>
      <c r="T60" s="46"/>
      <c r="U60" s="46"/>
      <c r="V60" s="46"/>
      <c r="W60" s="46"/>
      <c r="X60" s="46"/>
      <c r="Y60" s="46"/>
    </row>
    <row r="61" spans="1:25" x14ac:dyDescent="0.25">
      <c r="A61" s="46"/>
      <c r="B61" s="46"/>
      <c r="C61" s="46"/>
      <c r="D61" s="46"/>
      <c r="E61" s="46"/>
      <c r="F61" s="46"/>
      <c r="G61" s="46"/>
      <c r="J61" s="46"/>
      <c r="K61" s="46"/>
      <c r="L61" s="46"/>
      <c r="M61" s="46"/>
      <c r="N61" s="46"/>
      <c r="O61" s="46"/>
      <c r="P61" s="46"/>
      <c r="S61" s="46"/>
      <c r="T61" s="46"/>
      <c r="U61" s="46"/>
      <c r="V61" s="46"/>
      <c r="W61" s="46"/>
      <c r="X61" s="46"/>
      <c r="Y61" s="46"/>
    </row>
    <row r="62" spans="1:25" x14ac:dyDescent="0.25">
      <c r="A62" s="46"/>
      <c r="B62" s="46"/>
      <c r="C62" s="46"/>
      <c r="D62" s="46"/>
      <c r="E62" s="46"/>
      <c r="F62" s="46"/>
      <c r="G62" s="46"/>
      <c r="J62" s="46"/>
      <c r="K62" s="46"/>
      <c r="L62" s="46"/>
      <c r="M62" s="46"/>
      <c r="N62" s="46"/>
      <c r="O62" s="46"/>
      <c r="P62" s="46"/>
      <c r="S62" s="46"/>
      <c r="T62" s="46"/>
      <c r="U62" s="46"/>
      <c r="V62" s="46"/>
      <c r="W62" s="46"/>
      <c r="X62" s="46"/>
      <c r="Y62" s="46"/>
    </row>
    <row r="65" spans="1:27" x14ac:dyDescent="0.25">
      <c r="A65" s="17" t="s">
        <v>9</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spans="1:27" x14ac:dyDescent="0.25">
      <c r="A66" t="s">
        <v>2</v>
      </c>
      <c r="B66" t="s">
        <v>46</v>
      </c>
      <c r="C66" t="s">
        <v>47</v>
      </c>
      <c r="D66" t="s">
        <v>48</v>
      </c>
      <c r="E66" t="s">
        <v>244</v>
      </c>
      <c r="J66" t="s">
        <v>3</v>
      </c>
      <c r="K66" t="s">
        <v>46</v>
      </c>
      <c r="L66" t="s">
        <v>47</v>
      </c>
      <c r="M66" t="s">
        <v>48</v>
      </c>
      <c r="N66" t="s">
        <v>257</v>
      </c>
      <c r="S66" t="s">
        <v>4</v>
      </c>
      <c r="T66" t="s">
        <v>46</v>
      </c>
      <c r="U66" t="s">
        <v>47</v>
      </c>
      <c r="V66" t="s">
        <v>48</v>
      </c>
      <c r="W66" t="s">
        <v>275</v>
      </c>
    </row>
    <row r="67" spans="1:27" x14ac:dyDescent="0.25">
      <c r="A67" t="s">
        <v>44</v>
      </c>
      <c r="B67" s="38">
        <v>0.85</v>
      </c>
      <c r="C67" s="38">
        <v>0.7</v>
      </c>
      <c r="D67" s="38">
        <v>0.5</v>
      </c>
      <c r="J67" t="s">
        <v>44</v>
      </c>
      <c r="K67" s="13">
        <v>0.85</v>
      </c>
      <c r="L67" s="13">
        <v>0.52</v>
      </c>
      <c r="M67" s="13">
        <v>0.65</v>
      </c>
      <c r="S67" t="s">
        <v>44</v>
      </c>
      <c r="T67" s="13">
        <v>0.83</v>
      </c>
      <c r="U67" s="13">
        <v>0.47</v>
      </c>
      <c r="V67" s="13">
        <v>0.48</v>
      </c>
    </row>
    <row r="68" spans="1:27" x14ac:dyDescent="0.25">
      <c r="A68" t="s">
        <v>62</v>
      </c>
      <c r="B68" s="1" t="s">
        <v>245</v>
      </c>
      <c r="C68" s="1" t="s">
        <v>248</v>
      </c>
      <c r="D68" s="1" t="s">
        <v>251</v>
      </c>
      <c r="J68" t="s">
        <v>62</v>
      </c>
      <c r="K68" s="12" t="s">
        <v>258</v>
      </c>
      <c r="L68" s="12" t="s">
        <v>261</v>
      </c>
      <c r="M68" s="12" t="s">
        <v>264</v>
      </c>
      <c r="S68" t="s">
        <v>62</v>
      </c>
      <c r="T68" s="12" t="s">
        <v>276</v>
      </c>
      <c r="U68" s="12" t="s">
        <v>279</v>
      </c>
      <c r="V68" s="12" t="s">
        <v>282</v>
      </c>
    </row>
    <row r="69" spans="1:27" x14ac:dyDescent="0.25">
      <c r="A69" t="s">
        <v>61</v>
      </c>
      <c r="B69" s="1" t="s">
        <v>246</v>
      </c>
      <c r="C69" s="1" t="s">
        <v>249</v>
      </c>
      <c r="D69" s="1" t="s">
        <v>253</v>
      </c>
      <c r="J69" t="s">
        <v>61</v>
      </c>
      <c r="K69" s="12" t="s">
        <v>259</v>
      </c>
      <c r="L69" s="12" t="s">
        <v>262</v>
      </c>
      <c r="M69" s="12" t="s">
        <v>265</v>
      </c>
      <c r="S69" t="s">
        <v>61</v>
      </c>
      <c r="T69" s="12" t="s">
        <v>277</v>
      </c>
      <c r="U69" s="12" t="s">
        <v>280</v>
      </c>
      <c r="V69" s="12" t="s">
        <v>283</v>
      </c>
    </row>
    <row r="70" spans="1:27" x14ac:dyDescent="0.25">
      <c r="A70" t="s">
        <v>120</v>
      </c>
      <c r="B70" s="1" t="s">
        <v>247</v>
      </c>
      <c r="C70" s="1" t="s">
        <v>250</v>
      </c>
      <c r="D70" s="1" t="s">
        <v>252</v>
      </c>
      <c r="J70" t="s">
        <v>120</v>
      </c>
      <c r="K70" s="12" t="s">
        <v>260</v>
      </c>
      <c r="L70" s="12" t="s">
        <v>263</v>
      </c>
      <c r="M70" s="12" t="s">
        <v>158</v>
      </c>
      <c r="S70" t="s">
        <v>120</v>
      </c>
      <c r="T70" s="12" t="s">
        <v>278</v>
      </c>
      <c r="U70" s="12" t="s">
        <v>281</v>
      </c>
      <c r="V70" s="12" t="s">
        <v>284</v>
      </c>
    </row>
    <row r="71" spans="1:27" x14ac:dyDescent="0.25">
      <c r="A71" t="s">
        <v>64</v>
      </c>
      <c r="B71" s="41" t="s">
        <v>199</v>
      </c>
      <c r="C71" s="41"/>
      <c r="D71" s="41"/>
      <c r="J71" t="s">
        <v>64</v>
      </c>
      <c r="K71" s="47" t="s">
        <v>212</v>
      </c>
      <c r="L71" s="47"/>
      <c r="M71" s="47"/>
      <c r="S71" t="s">
        <v>64</v>
      </c>
      <c r="T71" s="47" t="s">
        <v>199</v>
      </c>
      <c r="U71" s="47"/>
      <c r="V71" s="47"/>
    </row>
    <row r="72" spans="1:27" x14ac:dyDescent="0.25">
      <c r="A72" t="s">
        <v>65</v>
      </c>
      <c r="B72" s="39"/>
      <c r="C72" s="51" t="s">
        <v>254</v>
      </c>
      <c r="D72" s="51" t="s">
        <v>255</v>
      </c>
      <c r="J72" t="s">
        <v>267</v>
      </c>
      <c r="K72" s="20"/>
      <c r="L72" s="12" t="s">
        <v>271</v>
      </c>
      <c r="M72" s="12" t="s">
        <v>273</v>
      </c>
      <c r="S72" t="s">
        <v>267</v>
      </c>
      <c r="T72" s="20"/>
      <c r="U72" s="12" t="s">
        <v>286</v>
      </c>
      <c r="V72" s="12">
        <v>9</v>
      </c>
    </row>
    <row r="73" spans="1:27" x14ac:dyDescent="0.25">
      <c r="A73" t="s">
        <v>66</v>
      </c>
      <c r="B73" s="39"/>
      <c r="C73" s="51"/>
      <c r="D73" s="51"/>
      <c r="J73" t="s">
        <v>268</v>
      </c>
      <c r="K73" s="20"/>
      <c r="L73" s="12" t="s">
        <v>270</v>
      </c>
      <c r="M73" s="12" t="s">
        <v>273</v>
      </c>
      <c r="S73" t="s">
        <v>268</v>
      </c>
      <c r="T73" s="20"/>
      <c r="U73" s="12">
        <v>4</v>
      </c>
      <c r="V73" s="12" t="s">
        <v>289</v>
      </c>
    </row>
    <row r="74" spans="1:27" x14ac:dyDescent="0.25">
      <c r="A74" t="s">
        <v>67</v>
      </c>
      <c r="B74" s="39"/>
      <c r="C74" s="53"/>
      <c r="D74" s="51"/>
      <c r="J74" t="s">
        <v>269</v>
      </c>
      <c r="K74" s="20"/>
      <c r="L74" s="12" t="s">
        <v>272</v>
      </c>
      <c r="M74" s="12" t="s">
        <v>274</v>
      </c>
      <c r="S74" t="s">
        <v>269</v>
      </c>
      <c r="T74" s="20"/>
      <c r="U74" s="12">
        <v>1</v>
      </c>
      <c r="V74" s="12" t="s">
        <v>290</v>
      </c>
    </row>
    <row r="75" spans="1:27" x14ac:dyDescent="0.25">
      <c r="A75" t="s">
        <v>45</v>
      </c>
      <c r="B75" s="1"/>
      <c r="C75" s="2" t="s">
        <v>11</v>
      </c>
      <c r="D75" s="2" t="s">
        <v>11</v>
      </c>
      <c r="J75" t="s">
        <v>45</v>
      </c>
      <c r="K75" s="12"/>
      <c r="L75" s="3" t="s">
        <v>11</v>
      </c>
      <c r="M75" s="3" t="s">
        <v>11</v>
      </c>
      <c r="S75" t="s">
        <v>287</v>
      </c>
      <c r="T75" s="20"/>
      <c r="U75" s="12" t="s">
        <v>288</v>
      </c>
      <c r="V75" s="12" t="s">
        <v>291</v>
      </c>
    </row>
    <row r="76" spans="1:27" x14ac:dyDescent="0.25">
      <c r="S76" t="s">
        <v>45</v>
      </c>
      <c r="U76" s="2" t="s">
        <v>11</v>
      </c>
      <c r="V76" s="3" t="s">
        <v>11</v>
      </c>
    </row>
    <row r="77" spans="1:27" x14ac:dyDescent="0.25">
      <c r="A77" t="s">
        <v>49</v>
      </c>
      <c r="J77" t="s">
        <v>49</v>
      </c>
      <c r="S77" t="s">
        <v>49</v>
      </c>
    </row>
    <row r="78" spans="1:27" x14ac:dyDescent="0.25">
      <c r="A78" s="46" t="s">
        <v>256</v>
      </c>
      <c r="B78" s="46"/>
      <c r="C78" s="46"/>
      <c r="D78" s="46"/>
      <c r="E78" s="46"/>
      <c r="F78" s="46"/>
      <c r="G78" s="46"/>
      <c r="J78" s="46" t="s">
        <v>266</v>
      </c>
      <c r="K78" s="46"/>
      <c r="L78" s="46"/>
      <c r="M78" s="46"/>
      <c r="N78" s="46"/>
      <c r="O78" s="46"/>
      <c r="P78" s="46"/>
      <c r="S78" s="46" t="s">
        <v>285</v>
      </c>
      <c r="T78" s="46"/>
      <c r="U78" s="46"/>
      <c r="V78" s="46"/>
      <c r="W78" s="46"/>
      <c r="X78" s="46"/>
      <c r="Y78" s="46"/>
    </row>
    <row r="79" spans="1:27" x14ac:dyDescent="0.25">
      <c r="A79" s="46"/>
      <c r="B79" s="46"/>
      <c r="C79" s="46"/>
      <c r="D79" s="46"/>
      <c r="E79" s="46"/>
      <c r="F79" s="46"/>
      <c r="G79" s="46"/>
      <c r="J79" s="46"/>
      <c r="K79" s="46"/>
      <c r="L79" s="46"/>
      <c r="M79" s="46"/>
      <c r="N79" s="46"/>
      <c r="O79" s="46"/>
      <c r="P79" s="46"/>
      <c r="S79" s="46"/>
      <c r="T79" s="46"/>
      <c r="U79" s="46"/>
      <c r="V79" s="46"/>
      <c r="W79" s="46"/>
      <c r="X79" s="46"/>
      <c r="Y79" s="46"/>
    </row>
    <row r="80" spans="1:27" x14ac:dyDescent="0.25">
      <c r="A80" s="46"/>
      <c r="B80" s="46"/>
      <c r="C80" s="46"/>
      <c r="D80" s="46"/>
      <c r="E80" s="46"/>
      <c r="F80" s="46"/>
      <c r="G80" s="46"/>
      <c r="J80" s="46"/>
      <c r="K80" s="46"/>
      <c r="L80" s="46"/>
      <c r="M80" s="46"/>
      <c r="N80" s="46"/>
      <c r="O80" s="46"/>
      <c r="P80" s="46"/>
      <c r="S80" s="46"/>
      <c r="T80" s="46"/>
      <c r="U80" s="46"/>
      <c r="V80" s="46"/>
      <c r="W80" s="46"/>
      <c r="X80" s="46"/>
      <c r="Y80" s="46"/>
    </row>
    <row r="81" spans="1:25" x14ac:dyDescent="0.25">
      <c r="A81" s="46"/>
      <c r="B81" s="46"/>
      <c r="C81" s="46"/>
      <c r="D81" s="46"/>
      <c r="E81" s="46"/>
      <c r="F81" s="46"/>
      <c r="G81" s="46"/>
      <c r="J81" s="46"/>
      <c r="K81" s="46"/>
      <c r="L81" s="46"/>
      <c r="M81" s="46"/>
      <c r="N81" s="46"/>
      <c r="O81" s="46"/>
      <c r="P81" s="46"/>
      <c r="S81" s="46"/>
      <c r="T81" s="46"/>
      <c r="U81" s="46"/>
      <c r="V81" s="46"/>
      <c r="W81" s="46"/>
      <c r="X81" s="46"/>
      <c r="Y81" s="46"/>
    </row>
    <row r="82" spans="1:25" x14ac:dyDescent="0.25">
      <c r="A82" s="46"/>
      <c r="B82" s="46"/>
      <c r="C82" s="46"/>
      <c r="D82" s="46"/>
      <c r="E82" s="46"/>
      <c r="F82" s="46"/>
      <c r="G82" s="46"/>
      <c r="J82" s="46"/>
      <c r="K82" s="46"/>
      <c r="L82" s="46"/>
      <c r="M82" s="46"/>
      <c r="N82" s="46"/>
      <c r="O82" s="46"/>
      <c r="P82" s="46"/>
      <c r="S82" s="46"/>
      <c r="T82" s="46"/>
      <c r="U82" s="46"/>
      <c r="V82" s="46"/>
      <c r="W82" s="46"/>
      <c r="X82" s="46"/>
      <c r="Y82" s="46"/>
    </row>
    <row r="83" spans="1:25" x14ac:dyDescent="0.25">
      <c r="A83" s="46"/>
      <c r="B83" s="46"/>
      <c r="C83" s="46"/>
      <c r="D83" s="46"/>
      <c r="E83" s="46"/>
      <c r="F83" s="46"/>
      <c r="G83" s="46"/>
      <c r="J83" s="46"/>
      <c r="K83" s="46"/>
      <c r="L83" s="46"/>
      <c r="M83" s="46"/>
      <c r="N83" s="46"/>
      <c r="O83" s="46"/>
      <c r="P83" s="46"/>
      <c r="S83" s="46"/>
      <c r="T83" s="46"/>
      <c r="U83" s="46"/>
      <c r="V83" s="46"/>
      <c r="W83" s="46"/>
      <c r="X83" s="46"/>
      <c r="Y83" s="46"/>
    </row>
  </sheetData>
  <mergeCells count="42">
    <mergeCell ref="J9:J11"/>
    <mergeCell ref="L9:L11"/>
    <mergeCell ref="M9:M11"/>
    <mergeCell ref="T8:V8"/>
    <mergeCell ref="S9:S11"/>
    <mergeCell ref="U9:U11"/>
    <mergeCell ref="V9:V11"/>
    <mergeCell ref="A78:G83"/>
    <mergeCell ref="J78:P83"/>
    <mergeCell ref="S78:Y83"/>
    <mergeCell ref="B71:D71"/>
    <mergeCell ref="C72:C74"/>
    <mergeCell ref="D72:D74"/>
    <mergeCell ref="K71:M71"/>
    <mergeCell ref="T71:V71"/>
    <mergeCell ref="B29:D29"/>
    <mergeCell ref="T29:V29"/>
    <mergeCell ref="A57:G62"/>
    <mergeCell ref="J57:P62"/>
    <mergeCell ref="S57:Y62"/>
    <mergeCell ref="V30:V32"/>
    <mergeCell ref="A30:A32"/>
    <mergeCell ref="C30:C32"/>
    <mergeCell ref="D30:D32"/>
    <mergeCell ref="S30:S32"/>
    <mergeCell ref="U30:U32"/>
    <mergeCell ref="B50:D50"/>
    <mergeCell ref="K50:M50"/>
    <mergeCell ref="T50:V50"/>
    <mergeCell ref="A1:K1"/>
    <mergeCell ref="A15:G20"/>
    <mergeCell ref="S15:Y20"/>
    <mergeCell ref="A36:G41"/>
    <mergeCell ref="J36:P41"/>
    <mergeCell ref="S36:Y41"/>
    <mergeCell ref="B9:D9"/>
    <mergeCell ref="J14:P20"/>
    <mergeCell ref="K8:M8"/>
    <mergeCell ref="J30:J32"/>
    <mergeCell ref="L30:L32"/>
    <mergeCell ref="M30:M32"/>
    <mergeCell ref="K29:M29"/>
  </mergeCells>
  <hyperlinks>
    <hyperlink ref="B4" r:id="rId1" xr:uid="{6C9A82A9-F0D6-4BC8-8558-7D7DE3727A05}"/>
    <hyperlink ref="C4" r:id="rId2" xr:uid="{218D93D9-1064-4BF8-9998-9E0F64B9F3F5}"/>
    <hyperlink ref="D4" r:id="rId3" xr:uid="{599C708B-A9E5-4624-9761-1055047EBE30}"/>
    <hyperlink ref="C13" r:id="rId4" xr:uid="{8D130157-9208-416F-B75E-9B6BA0CF9901}"/>
    <hyperlink ref="D13" r:id="rId5" xr:uid="{BA817BEA-A510-4D2B-9A87-5849B49E723B}"/>
    <hyperlink ref="L12" r:id="rId6" xr:uid="{92E01360-8824-49A8-B3A5-D49501364596}"/>
    <hyperlink ref="M12" r:id="rId7" xr:uid="{BC05C966-F74C-4DCB-A530-2432C86A92D3}"/>
    <hyperlink ref="L33" r:id="rId8" xr:uid="{0A0CBD08-A8A3-41D1-BDB5-2ECA238CEFA5}"/>
    <hyperlink ref="M33" r:id="rId9" xr:uid="{B6AE01B7-4EA5-4351-B393-26D567AE91C5}"/>
    <hyperlink ref="C33" r:id="rId10" xr:uid="{185490D0-164C-443D-9013-CDBC8274D39E}"/>
    <hyperlink ref="D33" r:id="rId11" xr:uid="{CCB69D75-402D-49B0-802C-944F50FDF70C}"/>
    <hyperlink ref="U33" r:id="rId12" xr:uid="{3C07B58C-CF59-4727-9CE8-53D4408B460D}"/>
    <hyperlink ref="V33" r:id="rId13" xr:uid="{912E1EB1-AA54-4C57-BBF1-361BC9CF9079}"/>
    <hyperlink ref="C75" r:id="rId14" xr:uid="{DE98251F-DE20-4BEA-8DBF-50B319622AD3}"/>
    <hyperlink ref="D75" r:id="rId15" xr:uid="{4716F5E9-60A5-4DA6-9AC4-3050C7EC4223}"/>
    <hyperlink ref="L75" r:id="rId16" xr:uid="{38954CF5-ED3E-4A80-8577-3F9D0CE62BFB}"/>
    <hyperlink ref="M75" r:id="rId17" xr:uid="{3D3B5D9F-AF44-4CFF-95E8-9229BFD0CD8D}"/>
    <hyperlink ref="U76" r:id="rId18" xr:uid="{D24755D9-0934-49B7-8C83-205F696A7C84}"/>
    <hyperlink ref="V76" r:id="rId19" xr:uid="{2B27F500-925A-42E2-87A3-74C8A168032D}"/>
    <hyperlink ref="C55" r:id="rId20" xr:uid="{D34F78FE-6F7E-4745-B9BA-FC92603CE23F}"/>
    <hyperlink ref="D55" r:id="rId21" xr:uid="{3564C75C-25B6-4EB5-B9FD-8500F3A6269E}"/>
    <hyperlink ref="L55" r:id="rId22" xr:uid="{A7BF2066-6221-44A3-B627-457CFE8C69C3}"/>
    <hyperlink ref="M55" r:id="rId23" xr:uid="{308BBDFB-B820-4328-9183-25205C409518}"/>
    <hyperlink ref="U55" r:id="rId24" xr:uid="{2A1EFF80-7617-4D14-B417-6270AB721575}"/>
    <hyperlink ref="V55" r:id="rId25" xr:uid="{41A5FB7B-AAA2-402C-9AEF-1E28B53A8D3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437E8-C068-4E01-8685-A997ABDC244E}">
  <dimension ref="A1:E5"/>
  <sheetViews>
    <sheetView workbookViewId="0">
      <selection activeCell="E5" sqref="E5"/>
    </sheetView>
  </sheetViews>
  <sheetFormatPr defaultRowHeight="15" x14ac:dyDescent="0.25"/>
  <cols>
    <col min="1" max="1" width="12.140625" bestFit="1" customWidth="1"/>
  </cols>
  <sheetData>
    <row r="1" spans="1:5" x14ac:dyDescent="0.25">
      <c r="A1" t="s">
        <v>317</v>
      </c>
      <c r="B1">
        <v>2000</v>
      </c>
      <c r="C1" t="s">
        <v>318</v>
      </c>
      <c r="D1">
        <v>100</v>
      </c>
    </row>
    <row r="2" spans="1:5" x14ac:dyDescent="0.25">
      <c r="B2" t="s">
        <v>6</v>
      </c>
      <c r="C2" t="s">
        <v>7</v>
      </c>
      <c r="D2" t="s">
        <v>8</v>
      </c>
      <c r="E2" t="s">
        <v>9</v>
      </c>
    </row>
    <row r="3" spans="1:5" x14ac:dyDescent="0.25">
      <c r="A3" t="s">
        <v>2</v>
      </c>
      <c r="B3" s="3" t="s">
        <v>11</v>
      </c>
      <c r="C3" s="3" t="s">
        <v>11</v>
      </c>
      <c r="D3" s="3" t="s">
        <v>11</v>
      </c>
      <c r="E3" s="3" t="s">
        <v>11</v>
      </c>
    </row>
    <row r="4" spans="1:5" x14ac:dyDescent="0.25">
      <c r="A4" t="s">
        <v>3</v>
      </c>
      <c r="B4" s="3" t="s">
        <v>11</v>
      </c>
      <c r="C4" s="2" t="s">
        <v>11</v>
      </c>
      <c r="D4" s="3" t="s">
        <v>11</v>
      </c>
      <c r="E4" s="3" t="s">
        <v>11</v>
      </c>
    </row>
    <row r="5" spans="1:5" x14ac:dyDescent="0.25">
      <c r="A5" t="s">
        <v>4</v>
      </c>
      <c r="B5" s="3" t="s">
        <v>11</v>
      </c>
      <c r="C5" s="2" t="s">
        <v>11</v>
      </c>
      <c r="D5" s="3" t="s">
        <v>11</v>
      </c>
      <c r="E5" s="3" t="s">
        <v>11</v>
      </c>
    </row>
  </sheetData>
  <hyperlinks>
    <hyperlink ref="B3" r:id="rId1" xr:uid="{97E7137F-D617-46C9-A252-7FA082C31C75}"/>
    <hyperlink ref="B4" r:id="rId2" xr:uid="{11824DC8-5868-40D2-A793-3B7241C2A4B2}"/>
    <hyperlink ref="B5" r:id="rId3" xr:uid="{6F108AC2-9058-45F7-A126-36EC0BCA659A}"/>
    <hyperlink ref="C3" r:id="rId4" xr:uid="{358881A8-E43D-410D-9259-3F8788AC9FB2}"/>
    <hyperlink ref="C4" r:id="rId5" xr:uid="{54F8B465-31F7-4F18-AF97-B3C746361E27}"/>
    <hyperlink ref="C5" r:id="rId6" xr:uid="{2C38CE8E-BE11-40E6-8937-E6E054869A7F}"/>
    <hyperlink ref="D3" r:id="rId7" xr:uid="{F76B9C9F-1A2B-4D40-B220-72E7CE0095C2}"/>
    <hyperlink ref="D4" r:id="rId8" xr:uid="{B35D6EFD-8706-4AF4-8896-98550AFA7C0B}"/>
    <hyperlink ref="D5" r:id="rId9" xr:uid="{FDF67959-BF50-4C97-83B0-7980417920F3}"/>
    <hyperlink ref="E3" r:id="rId10" xr:uid="{2C20BF6A-E8A9-4BFC-99D3-A07D04C959B2}"/>
    <hyperlink ref="E4" r:id="rId11" xr:uid="{8FCFF5F4-6433-45AA-98F3-A37AF4FACE6B}"/>
    <hyperlink ref="E5" r:id="rId12" xr:uid="{D84175E2-D092-4433-8A77-C6751923A90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1CA55-A43C-48CC-8614-854BC8D8FC35}">
  <dimension ref="A1:AA83"/>
  <sheetViews>
    <sheetView tabSelected="1" zoomScale="85" zoomScaleNormal="85" workbookViewId="0">
      <selection activeCell="E8" sqref="E8"/>
    </sheetView>
  </sheetViews>
  <sheetFormatPr defaultRowHeight="15" x14ac:dyDescent="0.25"/>
  <cols>
    <col min="1" max="1" width="26.28515625" bestFit="1" customWidth="1"/>
    <col min="10" max="10" width="26.42578125" bestFit="1" customWidth="1"/>
    <col min="19" max="19" width="26.42578125" bestFit="1" customWidth="1"/>
  </cols>
  <sheetData>
    <row r="1" spans="1:25" x14ac:dyDescent="0.25">
      <c r="A1" s="41" t="s">
        <v>60</v>
      </c>
      <c r="B1" s="41"/>
      <c r="C1" s="41"/>
      <c r="D1" s="41"/>
      <c r="E1" s="41"/>
      <c r="F1" s="41"/>
      <c r="G1" s="41"/>
      <c r="H1" s="41"/>
      <c r="I1" s="41"/>
      <c r="J1" s="41"/>
      <c r="K1" s="41"/>
    </row>
    <row r="2" spans="1:25" s="14" customFormat="1" x14ac:dyDescent="0.25">
      <c r="A2" s="14" t="s">
        <v>6</v>
      </c>
    </row>
    <row r="3" spans="1:25" x14ac:dyDescent="0.25">
      <c r="A3" t="s">
        <v>2</v>
      </c>
      <c r="B3" t="s">
        <v>46</v>
      </c>
      <c r="C3" t="s">
        <v>47</v>
      </c>
      <c r="D3" t="s">
        <v>48</v>
      </c>
      <c r="J3" t="s">
        <v>3</v>
      </c>
      <c r="K3" t="s">
        <v>46</v>
      </c>
      <c r="L3" t="s">
        <v>47</v>
      </c>
      <c r="M3" t="s">
        <v>48</v>
      </c>
      <c r="S3" t="s">
        <v>4</v>
      </c>
      <c r="T3" t="s">
        <v>46</v>
      </c>
      <c r="U3" t="s">
        <v>47</v>
      </c>
      <c r="V3" t="s">
        <v>48</v>
      </c>
    </row>
    <row r="4" spans="1:25" x14ac:dyDescent="0.25">
      <c r="A4" t="s">
        <v>44</v>
      </c>
      <c r="B4" s="13"/>
      <c r="C4" s="13"/>
      <c r="D4" s="13"/>
      <c r="J4" t="s">
        <v>44</v>
      </c>
      <c r="K4" s="13"/>
      <c r="L4" s="13"/>
      <c r="M4" s="13"/>
      <c r="S4" t="s">
        <v>44</v>
      </c>
      <c r="T4" s="13"/>
      <c r="U4" s="13"/>
      <c r="V4" s="13"/>
    </row>
    <row r="5" spans="1:25" x14ac:dyDescent="0.25">
      <c r="A5" t="s">
        <v>62</v>
      </c>
      <c r="B5" s="12"/>
      <c r="C5" s="12"/>
      <c r="D5" s="12"/>
      <c r="J5" t="s">
        <v>62</v>
      </c>
      <c r="K5" s="12"/>
      <c r="L5" s="12"/>
      <c r="M5" s="12"/>
      <c r="S5" t="s">
        <v>62</v>
      </c>
      <c r="T5" s="12"/>
      <c r="U5" s="12"/>
      <c r="V5" s="12"/>
    </row>
    <row r="6" spans="1:25" x14ac:dyDescent="0.25">
      <c r="A6" t="s">
        <v>61</v>
      </c>
      <c r="B6" s="12"/>
      <c r="C6" s="12"/>
      <c r="D6" s="12"/>
      <c r="J6" t="s">
        <v>61</v>
      </c>
      <c r="K6" s="12"/>
      <c r="L6" s="12"/>
      <c r="M6" s="12"/>
      <c r="S6" t="s">
        <v>61</v>
      </c>
      <c r="T6" s="12"/>
      <c r="U6" s="12"/>
      <c r="V6" s="12"/>
    </row>
    <row r="7" spans="1:25" x14ac:dyDescent="0.25">
      <c r="A7" t="s">
        <v>120</v>
      </c>
      <c r="B7" s="12"/>
      <c r="C7" s="12"/>
      <c r="D7" s="12"/>
      <c r="J7" t="s">
        <v>120</v>
      </c>
      <c r="K7" s="12"/>
      <c r="L7" s="12"/>
      <c r="M7" s="12"/>
      <c r="S7" t="s">
        <v>120</v>
      </c>
      <c r="T7" s="12"/>
      <c r="U7" s="12"/>
      <c r="V7" s="12"/>
    </row>
    <row r="8" spans="1:25" x14ac:dyDescent="0.25">
      <c r="A8" t="s">
        <v>64</v>
      </c>
      <c r="B8" s="47"/>
      <c r="C8" s="47"/>
      <c r="D8" s="47"/>
      <c r="J8" t="s">
        <v>64</v>
      </c>
      <c r="K8" s="47"/>
      <c r="L8" s="47"/>
      <c r="M8" s="47"/>
      <c r="S8" t="s">
        <v>64</v>
      </c>
      <c r="T8" s="47"/>
      <c r="U8" s="47"/>
      <c r="V8" s="47"/>
    </row>
    <row r="9" spans="1:25" x14ac:dyDescent="0.25">
      <c r="A9" t="s">
        <v>267</v>
      </c>
      <c r="B9" s="20"/>
      <c r="C9" s="12"/>
      <c r="D9" s="12"/>
      <c r="J9" t="s">
        <v>267</v>
      </c>
      <c r="K9" s="20"/>
      <c r="L9" s="12"/>
      <c r="M9" s="12"/>
      <c r="S9" t="s">
        <v>267</v>
      </c>
      <c r="T9" s="20"/>
      <c r="U9" s="12"/>
      <c r="V9" s="12"/>
    </row>
    <row r="10" spans="1:25" x14ac:dyDescent="0.25">
      <c r="A10" t="s">
        <v>268</v>
      </c>
      <c r="B10" s="20"/>
      <c r="C10" s="12"/>
      <c r="D10" s="12"/>
      <c r="J10" t="s">
        <v>268</v>
      </c>
      <c r="K10" s="20"/>
      <c r="L10" s="12"/>
      <c r="M10" s="12"/>
      <c r="S10" t="s">
        <v>268</v>
      </c>
      <c r="T10" s="20"/>
      <c r="U10" s="12"/>
      <c r="V10" s="12"/>
    </row>
    <row r="11" spans="1:25" x14ac:dyDescent="0.25">
      <c r="A11" t="s">
        <v>269</v>
      </c>
      <c r="B11" s="20"/>
      <c r="C11" s="12"/>
      <c r="D11" s="12"/>
      <c r="J11" t="s">
        <v>269</v>
      </c>
      <c r="K11" s="20"/>
      <c r="L11" s="12"/>
      <c r="M11" s="12"/>
      <c r="S11" t="s">
        <v>269</v>
      </c>
      <c r="T11" s="20"/>
      <c r="U11" s="12"/>
      <c r="V11" s="12"/>
    </row>
    <row r="12" spans="1:25" x14ac:dyDescent="0.25">
      <c r="A12" t="s">
        <v>287</v>
      </c>
      <c r="B12" s="20"/>
      <c r="C12" s="12"/>
      <c r="D12" s="12"/>
      <c r="J12" t="s">
        <v>287</v>
      </c>
      <c r="K12" s="20"/>
      <c r="L12" s="12"/>
      <c r="M12" s="12"/>
      <c r="S12" t="s">
        <v>287</v>
      </c>
      <c r="T12" s="20"/>
      <c r="U12" s="12"/>
      <c r="V12" s="12"/>
    </row>
    <row r="13" spans="1:25" x14ac:dyDescent="0.25">
      <c r="A13" t="s">
        <v>45</v>
      </c>
      <c r="B13" s="12"/>
      <c r="C13" s="3"/>
      <c r="D13" s="3"/>
      <c r="J13" t="s">
        <v>45</v>
      </c>
      <c r="K13" s="12"/>
      <c r="L13" s="3"/>
      <c r="M13" s="3"/>
      <c r="S13" t="s">
        <v>45</v>
      </c>
      <c r="T13" s="12"/>
      <c r="U13" s="3"/>
      <c r="V13" s="3"/>
    </row>
    <row r="14" spans="1:25" x14ac:dyDescent="0.25">
      <c r="A14" t="s">
        <v>49</v>
      </c>
      <c r="J14" t="s">
        <v>49</v>
      </c>
      <c r="S14" t="s">
        <v>49</v>
      </c>
    </row>
    <row r="15" spans="1:25" x14ac:dyDescent="0.25">
      <c r="A15" s="41"/>
      <c r="B15" s="41"/>
      <c r="C15" s="41"/>
      <c r="D15" s="41"/>
      <c r="E15" s="41"/>
      <c r="F15" s="41"/>
      <c r="G15" s="41"/>
      <c r="J15" s="41"/>
      <c r="K15" s="41"/>
      <c r="L15" s="41"/>
      <c r="M15" s="41"/>
      <c r="N15" s="41"/>
      <c r="O15" s="41"/>
      <c r="P15" s="41"/>
      <c r="S15" s="41"/>
      <c r="T15" s="41"/>
      <c r="U15" s="41"/>
      <c r="V15" s="41"/>
      <c r="W15" s="41"/>
      <c r="X15" s="41"/>
      <c r="Y15" s="41"/>
    </row>
    <row r="16" spans="1:25" x14ac:dyDescent="0.25">
      <c r="A16" s="41"/>
      <c r="B16" s="41"/>
      <c r="C16" s="41"/>
      <c r="D16" s="41"/>
      <c r="E16" s="41"/>
      <c r="F16" s="41"/>
      <c r="G16" s="41"/>
      <c r="J16" s="41"/>
      <c r="K16" s="41"/>
      <c r="L16" s="41"/>
      <c r="M16" s="41"/>
      <c r="N16" s="41"/>
      <c r="O16" s="41"/>
      <c r="P16" s="41"/>
      <c r="S16" s="41"/>
      <c r="T16" s="41"/>
      <c r="U16" s="41"/>
      <c r="V16" s="41"/>
      <c r="W16" s="41"/>
      <c r="X16" s="41"/>
      <c r="Y16" s="41"/>
    </row>
    <row r="17" spans="1:27" x14ac:dyDescent="0.25">
      <c r="A17" s="41"/>
      <c r="B17" s="41"/>
      <c r="C17" s="41"/>
      <c r="D17" s="41"/>
      <c r="E17" s="41"/>
      <c r="F17" s="41"/>
      <c r="G17" s="41"/>
      <c r="J17" s="41"/>
      <c r="K17" s="41"/>
      <c r="L17" s="41"/>
      <c r="M17" s="41"/>
      <c r="N17" s="41"/>
      <c r="O17" s="41"/>
      <c r="P17" s="41"/>
      <c r="S17" s="41"/>
      <c r="T17" s="41"/>
      <c r="U17" s="41"/>
      <c r="V17" s="41"/>
      <c r="W17" s="41"/>
      <c r="X17" s="41"/>
      <c r="Y17" s="41"/>
    </row>
    <row r="18" spans="1:27" x14ac:dyDescent="0.25">
      <c r="A18" s="41"/>
      <c r="B18" s="41"/>
      <c r="C18" s="41"/>
      <c r="D18" s="41"/>
      <c r="E18" s="41"/>
      <c r="F18" s="41"/>
      <c r="G18" s="41"/>
      <c r="J18" s="41"/>
      <c r="K18" s="41"/>
      <c r="L18" s="41"/>
      <c r="M18" s="41"/>
      <c r="N18" s="41"/>
      <c r="O18" s="41"/>
      <c r="P18" s="41"/>
      <c r="S18" s="41"/>
      <c r="T18" s="41"/>
      <c r="U18" s="41"/>
      <c r="V18" s="41"/>
      <c r="W18" s="41"/>
      <c r="X18" s="41"/>
      <c r="Y18" s="41"/>
    </row>
    <row r="19" spans="1:27" x14ac:dyDescent="0.25">
      <c r="A19" s="41"/>
      <c r="B19" s="41"/>
      <c r="C19" s="41"/>
      <c r="D19" s="41"/>
      <c r="E19" s="41"/>
      <c r="F19" s="41"/>
      <c r="G19" s="41"/>
      <c r="J19" s="41"/>
      <c r="K19" s="41"/>
      <c r="L19" s="41"/>
      <c r="M19" s="41"/>
      <c r="N19" s="41"/>
      <c r="O19" s="41"/>
      <c r="P19" s="41"/>
      <c r="S19" s="41"/>
      <c r="T19" s="41"/>
      <c r="U19" s="41"/>
      <c r="V19" s="41"/>
      <c r="W19" s="41"/>
      <c r="X19" s="41"/>
      <c r="Y19" s="41"/>
    </row>
    <row r="20" spans="1:27" x14ac:dyDescent="0.25">
      <c r="A20" s="41"/>
      <c r="B20" s="41"/>
      <c r="C20" s="41"/>
      <c r="D20" s="41"/>
      <c r="E20" s="41"/>
      <c r="F20" s="41"/>
      <c r="G20" s="41"/>
      <c r="J20" s="41"/>
      <c r="K20" s="41"/>
      <c r="L20" s="41"/>
      <c r="M20" s="41"/>
      <c r="N20" s="41"/>
      <c r="O20" s="41"/>
      <c r="P20" s="41"/>
      <c r="S20" s="41"/>
      <c r="T20" s="41"/>
      <c r="U20" s="41"/>
      <c r="V20" s="41"/>
      <c r="W20" s="41"/>
      <c r="X20" s="41"/>
      <c r="Y20" s="41"/>
    </row>
    <row r="23" spans="1:27" x14ac:dyDescent="0.25">
      <c r="A23" s="15" t="s">
        <v>7</v>
      </c>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spans="1:27" x14ac:dyDescent="0.25">
      <c r="A24" t="s">
        <v>2</v>
      </c>
      <c r="B24" t="s">
        <v>46</v>
      </c>
      <c r="C24" t="s">
        <v>47</v>
      </c>
      <c r="D24" t="s">
        <v>48</v>
      </c>
      <c r="J24" t="s">
        <v>3</v>
      </c>
      <c r="K24" t="s">
        <v>46</v>
      </c>
      <c r="L24" t="s">
        <v>47</v>
      </c>
      <c r="M24" t="s">
        <v>48</v>
      </c>
      <c r="S24" t="s">
        <v>4</v>
      </c>
      <c r="T24" t="s">
        <v>46</v>
      </c>
      <c r="U24" t="s">
        <v>47</v>
      </c>
      <c r="V24" t="s">
        <v>48</v>
      </c>
    </row>
    <row r="25" spans="1:27" x14ac:dyDescent="0.25">
      <c r="A25" t="s">
        <v>44</v>
      </c>
      <c r="B25" s="13"/>
      <c r="C25" s="13"/>
      <c r="D25" s="13"/>
      <c r="J25" t="s">
        <v>44</v>
      </c>
      <c r="K25" s="13"/>
      <c r="L25" s="13"/>
      <c r="M25" s="13"/>
      <c r="S25" t="s">
        <v>44</v>
      </c>
      <c r="T25" s="13"/>
      <c r="U25" s="13"/>
      <c r="V25" s="13"/>
    </row>
    <row r="26" spans="1:27" x14ac:dyDescent="0.25">
      <c r="A26" t="s">
        <v>62</v>
      </c>
      <c r="B26" s="12"/>
      <c r="C26" s="12"/>
      <c r="D26" s="12"/>
      <c r="J26" t="s">
        <v>62</v>
      </c>
      <c r="K26" s="12"/>
      <c r="L26" s="12"/>
      <c r="M26" s="12"/>
      <c r="S26" t="s">
        <v>62</v>
      </c>
      <c r="T26" s="12"/>
      <c r="U26" s="12"/>
      <c r="V26" s="12"/>
    </row>
    <row r="27" spans="1:27" x14ac:dyDescent="0.25">
      <c r="A27" t="s">
        <v>61</v>
      </c>
      <c r="B27" s="12"/>
      <c r="C27" s="12"/>
      <c r="D27" s="12"/>
      <c r="J27" t="s">
        <v>61</v>
      </c>
      <c r="K27" s="12"/>
      <c r="L27" s="12"/>
      <c r="M27" s="12"/>
      <c r="S27" t="s">
        <v>61</v>
      </c>
      <c r="T27" s="12"/>
      <c r="U27" s="12"/>
      <c r="V27" s="12"/>
    </row>
    <row r="28" spans="1:27" x14ac:dyDescent="0.25">
      <c r="A28" t="s">
        <v>120</v>
      </c>
      <c r="B28" s="12"/>
      <c r="C28" s="12"/>
      <c r="D28" s="12"/>
      <c r="J28" t="s">
        <v>120</v>
      </c>
      <c r="K28" s="12"/>
      <c r="L28" s="12"/>
      <c r="M28" s="12"/>
      <c r="S28" t="s">
        <v>120</v>
      </c>
      <c r="T28" s="12"/>
      <c r="U28" s="12"/>
      <c r="V28" s="12"/>
    </row>
    <row r="29" spans="1:27" x14ac:dyDescent="0.25">
      <c r="A29" t="s">
        <v>64</v>
      </c>
      <c r="B29" s="47"/>
      <c r="C29" s="47"/>
      <c r="D29" s="47"/>
      <c r="J29" t="s">
        <v>64</v>
      </c>
      <c r="K29" s="47"/>
      <c r="L29" s="47"/>
      <c r="M29" s="47"/>
      <c r="S29" t="s">
        <v>64</v>
      </c>
      <c r="T29" s="47"/>
      <c r="U29" s="47"/>
      <c r="V29" s="47"/>
    </row>
    <row r="30" spans="1:27" x14ac:dyDescent="0.25">
      <c r="A30" t="s">
        <v>267</v>
      </c>
      <c r="B30" s="20"/>
      <c r="C30" s="12"/>
      <c r="D30" s="12"/>
      <c r="J30" t="s">
        <v>267</v>
      </c>
      <c r="K30" s="20"/>
      <c r="L30" s="12"/>
      <c r="M30" s="12"/>
      <c r="S30" t="s">
        <v>267</v>
      </c>
      <c r="T30" s="20"/>
      <c r="U30" s="12"/>
      <c r="V30" s="12"/>
    </row>
    <row r="31" spans="1:27" x14ac:dyDescent="0.25">
      <c r="A31" t="s">
        <v>268</v>
      </c>
      <c r="B31" s="20"/>
      <c r="C31" s="12"/>
      <c r="D31" s="12"/>
      <c r="J31" t="s">
        <v>268</v>
      </c>
      <c r="K31" s="20"/>
      <c r="L31" s="12"/>
      <c r="M31" s="12"/>
      <c r="S31" t="s">
        <v>268</v>
      </c>
      <c r="T31" s="20"/>
      <c r="U31" s="12"/>
      <c r="V31" s="12"/>
    </row>
    <row r="32" spans="1:27" x14ac:dyDescent="0.25">
      <c r="A32" t="s">
        <v>269</v>
      </c>
      <c r="B32" s="20"/>
      <c r="C32" s="12"/>
      <c r="D32" s="12"/>
      <c r="J32" t="s">
        <v>269</v>
      </c>
      <c r="K32" s="20"/>
      <c r="L32" s="12"/>
      <c r="M32" s="12"/>
      <c r="S32" t="s">
        <v>269</v>
      </c>
      <c r="T32" s="20"/>
      <c r="U32" s="12"/>
      <c r="V32" s="12"/>
    </row>
    <row r="33" spans="1:27" x14ac:dyDescent="0.25">
      <c r="A33" t="s">
        <v>287</v>
      </c>
      <c r="B33" s="20"/>
      <c r="C33" s="12"/>
      <c r="D33" s="12"/>
      <c r="J33" t="s">
        <v>287</v>
      </c>
      <c r="K33" s="20"/>
      <c r="L33" s="12"/>
      <c r="M33" s="12"/>
      <c r="S33" t="s">
        <v>287</v>
      </c>
      <c r="T33" s="20"/>
      <c r="U33" s="12"/>
      <c r="V33" s="12"/>
    </row>
    <row r="34" spans="1:27" x14ac:dyDescent="0.25">
      <c r="A34" t="s">
        <v>45</v>
      </c>
      <c r="B34" s="12"/>
      <c r="C34" s="3"/>
      <c r="D34" s="3"/>
      <c r="J34" t="s">
        <v>45</v>
      </c>
      <c r="K34" s="12"/>
      <c r="L34" s="3"/>
      <c r="M34" s="3"/>
      <c r="S34" t="s">
        <v>45</v>
      </c>
      <c r="T34" s="12"/>
      <c r="U34" s="3"/>
      <c r="V34" s="3"/>
    </row>
    <row r="35" spans="1:27" x14ac:dyDescent="0.25">
      <c r="A35" t="s">
        <v>49</v>
      </c>
      <c r="J35" t="s">
        <v>49</v>
      </c>
      <c r="S35" t="s">
        <v>49</v>
      </c>
    </row>
    <row r="36" spans="1:27" x14ac:dyDescent="0.25">
      <c r="A36" s="41"/>
      <c r="B36" s="41"/>
      <c r="C36" s="41"/>
      <c r="D36" s="41"/>
      <c r="E36" s="41"/>
      <c r="F36" s="41"/>
      <c r="G36" s="41"/>
      <c r="J36" s="41"/>
      <c r="K36" s="41"/>
      <c r="L36" s="41"/>
      <c r="M36" s="41"/>
      <c r="N36" s="41"/>
      <c r="O36" s="41"/>
      <c r="P36" s="41"/>
      <c r="S36" s="41"/>
      <c r="T36" s="41"/>
      <c r="U36" s="41"/>
      <c r="V36" s="41"/>
      <c r="W36" s="41"/>
      <c r="X36" s="41"/>
      <c r="Y36" s="41"/>
    </row>
    <row r="37" spans="1:27" x14ac:dyDescent="0.25">
      <c r="A37" s="41"/>
      <c r="B37" s="41"/>
      <c r="C37" s="41"/>
      <c r="D37" s="41"/>
      <c r="E37" s="41"/>
      <c r="F37" s="41"/>
      <c r="G37" s="41"/>
      <c r="J37" s="41"/>
      <c r="K37" s="41"/>
      <c r="L37" s="41"/>
      <c r="M37" s="41"/>
      <c r="N37" s="41"/>
      <c r="O37" s="41"/>
      <c r="P37" s="41"/>
      <c r="S37" s="41"/>
      <c r="T37" s="41"/>
      <c r="U37" s="41"/>
      <c r="V37" s="41"/>
      <c r="W37" s="41"/>
      <c r="X37" s="41"/>
      <c r="Y37" s="41"/>
    </row>
    <row r="38" spans="1:27" x14ac:dyDescent="0.25">
      <c r="A38" s="41"/>
      <c r="B38" s="41"/>
      <c r="C38" s="41"/>
      <c r="D38" s="41"/>
      <c r="E38" s="41"/>
      <c r="F38" s="41"/>
      <c r="G38" s="41"/>
      <c r="J38" s="41"/>
      <c r="K38" s="41"/>
      <c r="L38" s="41"/>
      <c r="M38" s="41"/>
      <c r="N38" s="41"/>
      <c r="O38" s="41"/>
      <c r="P38" s="41"/>
      <c r="S38" s="41"/>
      <c r="T38" s="41"/>
      <c r="U38" s="41"/>
      <c r="V38" s="41"/>
      <c r="W38" s="41"/>
      <c r="X38" s="41"/>
      <c r="Y38" s="41"/>
    </row>
    <row r="39" spans="1:27" x14ac:dyDescent="0.25">
      <c r="A39" s="41"/>
      <c r="B39" s="41"/>
      <c r="C39" s="41"/>
      <c r="D39" s="41"/>
      <c r="E39" s="41"/>
      <c r="F39" s="41"/>
      <c r="G39" s="41"/>
      <c r="J39" s="41"/>
      <c r="K39" s="41"/>
      <c r="L39" s="41"/>
      <c r="M39" s="41"/>
      <c r="N39" s="41"/>
      <c r="O39" s="41"/>
      <c r="P39" s="41"/>
      <c r="S39" s="41"/>
      <c r="T39" s="41"/>
      <c r="U39" s="41"/>
      <c r="V39" s="41"/>
      <c r="W39" s="41"/>
      <c r="X39" s="41"/>
      <c r="Y39" s="41"/>
    </row>
    <row r="40" spans="1:27" x14ac:dyDescent="0.25">
      <c r="A40" s="41"/>
      <c r="B40" s="41"/>
      <c r="C40" s="41"/>
      <c r="D40" s="41"/>
      <c r="E40" s="41"/>
      <c r="F40" s="41"/>
      <c r="G40" s="41"/>
      <c r="J40" s="41"/>
      <c r="K40" s="41"/>
      <c r="L40" s="41"/>
      <c r="M40" s="41"/>
      <c r="N40" s="41"/>
      <c r="O40" s="41"/>
      <c r="P40" s="41"/>
      <c r="S40" s="41"/>
      <c r="T40" s="41"/>
      <c r="U40" s="41"/>
      <c r="V40" s="41"/>
      <c r="W40" s="41"/>
      <c r="X40" s="41"/>
      <c r="Y40" s="41"/>
    </row>
    <row r="41" spans="1:27" x14ac:dyDescent="0.25">
      <c r="A41" s="41"/>
      <c r="B41" s="41"/>
      <c r="C41" s="41"/>
      <c r="D41" s="41"/>
      <c r="E41" s="41"/>
      <c r="F41" s="41"/>
      <c r="G41" s="41"/>
      <c r="J41" s="41"/>
      <c r="K41" s="41"/>
      <c r="L41" s="41"/>
      <c r="M41" s="41"/>
      <c r="N41" s="41"/>
      <c r="O41" s="41"/>
      <c r="P41" s="41"/>
      <c r="S41" s="41"/>
      <c r="T41" s="41"/>
      <c r="U41" s="41"/>
      <c r="V41" s="41"/>
      <c r="W41" s="41"/>
      <c r="X41" s="41"/>
      <c r="Y41" s="41"/>
    </row>
    <row r="44" spans="1:27" x14ac:dyDescent="0.25">
      <c r="A44" s="16" t="s">
        <v>8</v>
      </c>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row>
    <row r="45" spans="1:27" x14ac:dyDescent="0.25">
      <c r="A45" t="s">
        <v>2</v>
      </c>
      <c r="B45" t="s">
        <v>46</v>
      </c>
      <c r="C45" t="s">
        <v>47</v>
      </c>
      <c r="D45" t="s">
        <v>48</v>
      </c>
      <c r="J45" t="s">
        <v>3</v>
      </c>
      <c r="K45" t="s">
        <v>46</v>
      </c>
      <c r="L45" t="s">
        <v>47</v>
      </c>
      <c r="M45" t="s">
        <v>48</v>
      </c>
      <c r="S45" t="s">
        <v>4</v>
      </c>
      <c r="T45" t="s">
        <v>46</v>
      </c>
      <c r="U45" t="s">
        <v>47</v>
      </c>
      <c r="V45" t="s">
        <v>48</v>
      </c>
    </row>
    <row r="46" spans="1:27" x14ac:dyDescent="0.25">
      <c r="A46" t="s">
        <v>44</v>
      </c>
      <c r="B46" s="13"/>
      <c r="C46" s="13"/>
      <c r="D46" s="13"/>
      <c r="J46" t="s">
        <v>44</v>
      </c>
      <c r="K46" s="13"/>
      <c r="L46" s="13"/>
      <c r="M46" s="13"/>
      <c r="S46" t="s">
        <v>44</v>
      </c>
      <c r="T46" s="13"/>
      <c r="U46" s="13"/>
      <c r="V46" s="13"/>
    </row>
    <row r="47" spans="1:27" x14ac:dyDescent="0.25">
      <c r="A47" t="s">
        <v>62</v>
      </c>
      <c r="B47" s="12"/>
      <c r="C47" s="12"/>
      <c r="D47" s="12"/>
      <c r="J47" t="s">
        <v>62</v>
      </c>
      <c r="K47" s="12"/>
      <c r="L47" s="12"/>
      <c r="M47" s="12"/>
      <c r="S47" t="s">
        <v>62</v>
      </c>
      <c r="T47" s="12"/>
      <c r="U47" s="12"/>
      <c r="V47" s="12"/>
    </row>
    <row r="48" spans="1:27" x14ac:dyDescent="0.25">
      <c r="A48" t="s">
        <v>61</v>
      </c>
      <c r="B48" s="12"/>
      <c r="C48" s="12"/>
      <c r="D48" s="12"/>
      <c r="J48" t="s">
        <v>61</v>
      </c>
      <c r="K48" s="12"/>
      <c r="L48" s="12"/>
      <c r="M48" s="12"/>
      <c r="S48" t="s">
        <v>61</v>
      </c>
      <c r="T48" s="12"/>
      <c r="U48" s="12"/>
      <c r="V48" s="12"/>
    </row>
    <row r="49" spans="1:25" x14ac:dyDescent="0.25">
      <c r="A49" t="s">
        <v>120</v>
      </c>
      <c r="B49" s="12"/>
      <c r="C49" s="12"/>
      <c r="D49" s="12"/>
      <c r="J49" t="s">
        <v>120</v>
      </c>
      <c r="K49" s="12"/>
      <c r="L49" s="12"/>
      <c r="M49" s="12"/>
      <c r="S49" t="s">
        <v>120</v>
      </c>
      <c r="T49" s="12"/>
      <c r="U49" s="12"/>
      <c r="V49" s="12"/>
    </row>
    <row r="50" spans="1:25" x14ac:dyDescent="0.25">
      <c r="A50" t="s">
        <v>64</v>
      </c>
      <c r="B50" s="47"/>
      <c r="C50" s="47"/>
      <c r="D50" s="47"/>
      <c r="J50" t="s">
        <v>64</v>
      </c>
      <c r="K50" s="47"/>
      <c r="L50" s="47"/>
      <c r="M50" s="47"/>
      <c r="S50" t="s">
        <v>64</v>
      </c>
      <c r="T50" s="47"/>
      <c r="U50" s="47"/>
      <c r="V50" s="47"/>
    </row>
    <row r="51" spans="1:25" x14ac:dyDescent="0.25">
      <c r="A51" t="s">
        <v>267</v>
      </c>
      <c r="B51" s="20"/>
      <c r="C51" s="12"/>
      <c r="D51" s="12"/>
      <c r="J51" t="s">
        <v>267</v>
      </c>
      <c r="K51" s="20"/>
      <c r="L51" s="12"/>
      <c r="M51" s="12"/>
      <c r="S51" t="s">
        <v>267</v>
      </c>
      <c r="T51" s="20"/>
      <c r="U51" s="12"/>
      <c r="V51" s="12"/>
    </row>
    <row r="52" spans="1:25" x14ac:dyDescent="0.25">
      <c r="A52" t="s">
        <v>268</v>
      </c>
      <c r="B52" s="20"/>
      <c r="C52" s="12"/>
      <c r="D52" s="12"/>
      <c r="J52" t="s">
        <v>268</v>
      </c>
      <c r="K52" s="20"/>
      <c r="L52" s="12"/>
      <c r="M52" s="12"/>
      <c r="S52" t="s">
        <v>268</v>
      </c>
      <c r="T52" s="20"/>
      <c r="U52" s="12"/>
      <c r="V52" s="12"/>
    </row>
    <row r="53" spans="1:25" x14ac:dyDescent="0.25">
      <c r="A53" t="s">
        <v>269</v>
      </c>
      <c r="B53" s="20"/>
      <c r="C53" s="12"/>
      <c r="D53" s="12"/>
      <c r="J53" t="s">
        <v>269</v>
      </c>
      <c r="K53" s="20"/>
      <c r="L53" s="12"/>
      <c r="M53" s="12"/>
      <c r="S53" t="s">
        <v>269</v>
      </c>
      <c r="T53" s="20"/>
      <c r="U53" s="12"/>
      <c r="V53" s="12"/>
    </row>
    <row r="54" spans="1:25" x14ac:dyDescent="0.25">
      <c r="A54" t="s">
        <v>287</v>
      </c>
      <c r="B54" s="20"/>
      <c r="C54" s="12"/>
      <c r="D54" s="12"/>
      <c r="J54" t="s">
        <v>287</v>
      </c>
      <c r="K54" s="20"/>
      <c r="L54" s="12"/>
      <c r="M54" s="12"/>
      <c r="S54" t="s">
        <v>287</v>
      </c>
      <c r="T54" s="20"/>
      <c r="U54" s="12"/>
      <c r="V54" s="12"/>
    </row>
    <row r="55" spans="1:25" x14ac:dyDescent="0.25">
      <c r="A55" t="s">
        <v>45</v>
      </c>
      <c r="B55" s="12"/>
      <c r="C55" s="3"/>
      <c r="D55" s="3"/>
      <c r="J55" t="s">
        <v>45</v>
      </c>
      <c r="K55" s="12"/>
      <c r="L55" s="3"/>
      <c r="M55" s="3"/>
      <c r="S55" t="s">
        <v>45</v>
      </c>
      <c r="T55" s="12"/>
      <c r="U55" s="3"/>
      <c r="V55" s="3"/>
    </row>
    <row r="56" spans="1:25" x14ac:dyDescent="0.25">
      <c r="A56" t="s">
        <v>49</v>
      </c>
      <c r="J56" t="s">
        <v>49</v>
      </c>
      <c r="S56" t="s">
        <v>49</v>
      </c>
    </row>
    <row r="57" spans="1:25" x14ac:dyDescent="0.25">
      <c r="A57" s="41"/>
      <c r="B57" s="41"/>
      <c r="C57" s="41"/>
      <c r="D57" s="41"/>
      <c r="E57" s="41"/>
      <c r="F57" s="41"/>
      <c r="G57" s="41"/>
      <c r="J57" s="41"/>
      <c r="K57" s="41"/>
      <c r="L57" s="41"/>
      <c r="M57" s="41"/>
      <c r="N57" s="41"/>
      <c r="O57" s="41"/>
      <c r="P57" s="41"/>
      <c r="S57" s="41"/>
      <c r="T57" s="41"/>
      <c r="U57" s="41"/>
      <c r="V57" s="41"/>
      <c r="W57" s="41"/>
      <c r="X57" s="41"/>
      <c r="Y57" s="41"/>
    </row>
    <row r="58" spans="1:25" x14ac:dyDescent="0.25">
      <c r="A58" s="41"/>
      <c r="B58" s="41"/>
      <c r="C58" s="41"/>
      <c r="D58" s="41"/>
      <c r="E58" s="41"/>
      <c r="F58" s="41"/>
      <c r="G58" s="41"/>
      <c r="J58" s="41"/>
      <c r="K58" s="41"/>
      <c r="L58" s="41"/>
      <c r="M58" s="41"/>
      <c r="N58" s="41"/>
      <c r="O58" s="41"/>
      <c r="P58" s="41"/>
      <c r="S58" s="41"/>
      <c r="T58" s="41"/>
      <c r="U58" s="41"/>
      <c r="V58" s="41"/>
      <c r="W58" s="41"/>
      <c r="X58" s="41"/>
      <c r="Y58" s="41"/>
    </row>
    <row r="59" spans="1:25" x14ac:dyDescent="0.25">
      <c r="A59" s="41"/>
      <c r="B59" s="41"/>
      <c r="C59" s="41"/>
      <c r="D59" s="41"/>
      <c r="E59" s="41"/>
      <c r="F59" s="41"/>
      <c r="G59" s="41"/>
      <c r="J59" s="41"/>
      <c r="K59" s="41"/>
      <c r="L59" s="41"/>
      <c r="M59" s="41"/>
      <c r="N59" s="41"/>
      <c r="O59" s="41"/>
      <c r="P59" s="41"/>
      <c r="S59" s="41"/>
      <c r="T59" s="41"/>
      <c r="U59" s="41"/>
      <c r="V59" s="41"/>
      <c r="W59" s="41"/>
      <c r="X59" s="41"/>
      <c r="Y59" s="41"/>
    </row>
    <row r="60" spans="1:25" x14ac:dyDescent="0.25">
      <c r="A60" s="41"/>
      <c r="B60" s="41"/>
      <c r="C60" s="41"/>
      <c r="D60" s="41"/>
      <c r="E60" s="41"/>
      <c r="F60" s="41"/>
      <c r="G60" s="41"/>
      <c r="J60" s="41"/>
      <c r="K60" s="41"/>
      <c r="L60" s="41"/>
      <c r="M60" s="41"/>
      <c r="N60" s="41"/>
      <c r="O60" s="41"/>
      <c r="P60" s="41"/>
      <c r="S60" s="41"/>
      <c r="T60" s="41"/>
      <c r="U60" s="41"/>
      <c r="V60" s="41"/>
      <c r="W60" s="41"/>
      <c r="X60" s="41"/>
      <c r="Y60" s="41"/>
    </row>
    <row r="61" spans="1:25" x14ac:dyDescent="0.25">
      <c r="A61" s="41"/>
      <c r="B61" s="41"/>
      <c r="C61" s="41"/>
      <c r="D61" s="41"/>
      <c r="E61" s="41"/>
      <c r="F61" s="41"/>
      <c r="G61" s="41"/>
      <c r="J61" s="41"/>
      <c r="K61" s="41"/>
      <c r="L61" s="41"/>
      <c r="M61" s="41"/>
      <c r="N61" s="41"/>
      <c r="O61" s="41"/>
      <c r="P61" s="41"/>
      <c r="S61" s="41"/>
      <c r="T61" s="41"/>
      <c r="U61" s="41"/>
      <c r="V61" s="41"/>
      <c r="W61" s="41"/>
      <c r="X61" s="41"/>
      <c r="Y61" s="41"/>
    </row>
    <row r="62" spans="1:25" x14ac:dyDescent="0.25">
      <c r="A62" s="41"/>
      <c r="B62" s="41"/>
      <c r="C62" s="41"/>
      <c r="D62" s="41"/>
      <c r="E62" s="41"/>
      <c r="F62" s="41"/>
      <c r="G62" s="41"/>
      <c r="J62" s="41"/>
      <c r="K62" s="41"/>
      <c r="L62" s="41"/>
      <c r="M62" s="41"/>
      <c r="N62" s="41"/>
      <c r="O62" s="41"/>
      <c r="P62" s="41"/>
      <c r="S62" s="41"/>
      <c r="T62" s="41"/>
      <c r="U62" s="41"/>
      <c r="V62" s="41"/>
      <c r="W62" s="41"/>
      <c r="X62" s="41"/>
      <c r="Y62" s="41"/>
    </row>
    <row r="65" spans="1:27" x14ac:dyDescent="0.25">
      <c r="A65" s="17" t="s">
        <v>9</v>
      </c>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spans="1:27" x14ac:dyDescent="0.25">
      <c r="A66" t="s">
        <v>2</v>
      </c>
      <c r="B66" t="s">
        <v>46</v>
      </c>
      <c r="C66" t="s">
        <v>47</v>
      </c>
      <c r="D66" t="s">
        <v>48</v>
      </c>
      <c r="J66" t="s">
        <v>3</v>
      </c>
      <c r="K66" t="s">
        <v>46</v>
      </c>
      <c r="L66" t="s">
        <v>47</v>
      </c>
      <c r="M66" t="s">
        <v>48</v>
      </c>
      <c r="S66" t="s">
        <v>4</v>
      </c>
      <c r="T66" t="s">
        <v>46</v>
      </c>
      <c r="U66" t="s">
        <v>47</v>
      </c>
      <c r="V66" t="s">
        <v>48</v>
      </c>
    </row>
    <row r="67" spans="1:27" x14ac:dyDescent="0.25">
      <c r="A67" t="s">
        <v>27</v>
      </c>
      <c r="J67" t="s">
        <v>27</v>
      </c>
      <c r="S67" t="s">
        <v>27</v>
      </c>
    </row>
    <row r="68" spans="1:27" x14ac:dyDescent="0.25">
      <c r="A68" t="s">
        <v>44</v>
      </c>
      <c r="J68" t="s">
        <v>44</v>
      </c>
      <c r="S68" t="s">
        <v>44</v>
      </c>
    </row>
    <row r="69" spans="1:27" x14ac:dyDescent="0.25">
      <c r="A69" t="s">
        <v>62</v>
      </c>
      <c r="J69" t="s">
        <v>62</v>
      </c>
      <c r="S69" t="s">
        <v>62</v>
      </c>
    </row>
    <row r="70" spans="1:27" x14ac:dyDescent="0.25">
      <c r="A70" t="s">
        <v>61</v>
      </c>
      <c r="J70" t="s">
        <v>61</v>
      </c>
      <c r="S70" t="s">
        <v>61</v>
      </c>
    </row>
    <row r="71" spans="1:27" x14ac:dyDescent="0.25">
      <c r="A71" t="s">
        <v>63</v>
      </c>
      <c r="J71" t="s">
        <v>63</v>
      </c>
      <c r="S71" t="s">
        <v>63</v>
      </c>
    </row>
    <row r="72" spans="1:27" x14ac:dyDescent="0.25">
      <c r="A72" t="s">
        <v>64</v>
      </c>
      <c r="J72" t="s">
        <v>64</v>
      </c>
      <c r="S72" t="s">
        <v>64</v>
      </c>
    </row>
    <row r="73" spans="1:27" x14ac:dyDescent="0.25">
      <c r="A73" t="s">
        <v>65</v>
      </c>
      <c r="B73" s="18"/>
      <c r="C73" s="18"/>
      <c r="J73" t="s">
        <v>65</v>
      </c>
      <c r="K73" s="18"/>
      <c r="L73" s="18"/>
      <c r="S73" t="s">
        <v>65</v>
      </c>
      <c r="T73" s="18"/>
      <c r="U73" s="18"/>
    </row>
    <row r="74" spans="1:27" x14ac:dyDescent="0.25">
      <c r="A74" t="s">
        <v>66</v>
      </c>
      <c r="B74" s="18"/>
      <c r="C74" s="18"/>
      <c r="J74" t="s">
        <v>66</v>
      </c>
      <c r="K74" s="18"/>
      <c r="L74" s="18"/>
      <c r="S74" t="s">
        <v>66</v>
      </c>
      <c r="T74" s="18"/>
      <c r="U74" s="18"/>
    </row>
    <row r="75" spans="1:27" x14ac:dyDescent="0.25">
      <c r="A75" t="s">
        <v>67</v>
      </c>
      <c r="B75" s="18"/>
      <c r="C75" s="18"/>
      <c r="J75" t="s">
        <v>67</v>
      </c>
      <c r="K75" s="18"/>
      <c r="L75" s="18"/>
      <c r="S75" t="s">
        <v>67</v>
      </c>
      <c r="T75" s="18"/>
      <c r="U75" s="18"/>
    </row>
    <row r="76" spans="1:27" x14ac:dyDescent="0.25">
      <c r="A76" t="s">
        <v>45</v>
      </c>
      <c r="J76" t="s">
        <v>45</v>
      </c>
      <c r="S76" t="s">
        <v>45</v>
      </c>
    </row>
    <row r="77" spans="1:27" x14ac:dyDescent="0.25">
      <c r="A77" t="s">
        <v>49</v>
      </c>
      <c r="J77" t="s">
        <v>49</v>
      </c>
      <c r="S77" t="s">
        <v>49</v>
      </c>
    </row>
    <row r="78" spans="1:27" x14ac:dyDescent="0.25">
      <c r="A78" s="41"/>
      <c r="B78" s="41"/>
      <c r="C78" s="41"/>
      <c r="D78" s="41"/>
      <c r="E78" s="41"/>
      <c r="F78" s="41"/>
      <c r="G78" s="41"/>
      <c r="J78" s="41"/>
      <c r="K78" s="41"/>
      <c r="L78" s="41"/>
      <c r="M78" s="41"/>
      <c r="N78" s="41"/>
      <c r="O78" s="41"/>
      <c r="P78" s="41"/>
      <c r="S78" s="41"/>
      <c r="T78" s="41"/>
      <c r="U78" s="41"/>
      <c r="V78" s="41"/>
      <c r="W78" s="41"/>
      <c r="X78" s="41"/>
      <c r="Y78" s="41"/>
    </row>
    <row r="79" spans="1:27" x14ac:dyDescent="0.25">
      <c r="A79" s="41"/>
      <c r="B79" s="41"/>
      <c r="C79" s="41"/>
      <c r="D79" s="41"/>
      <c r="E79" s="41"/>
      <c r="F79" s="41"/>
      <c r="G79" s="41"/>
      <c r="J79" s="41"/>
      <c r="K79" s="41"/>
      <c r="L79" s="41"/>
      <c r="M79" s="41"/>
      <c r="N79" s="41"/>
      <c r="O79" s="41"/>
      <c r="P79" s="41"/>
      <c r="S79" s="41"/>
      <c r="T79" s="41"/>
      <c r="U79" s="41"/>
      <c r="V79" s="41"/>
      <c r="W79" s="41"/>
      <c r="X79" s="41"/>
      <c r="Y79" s="41"/>
    </row>
    <row r="80" spans="1:27" x14ac:dyDescent="0.25">
      <c r="A80" s="41"/>
      <c r="B80" s="41"/>
      <c r="C80" s="41"/>
      <c r="D80" s="41"/>
      <c r="E80" s="41"/>
      <c r="F80" s="41"/>
      <c r="G80" s="41"/>
      <c r="J80" s="41"/>
      <c r="K80" s="41"/>
      <c r="L80" s="41"/>
      <c r="M80" s="41"/>
      <c r="N80" s="41"/>
      <c r="O80" s="41"/>
      <c r="P80" s="41"/>
      <c r="S80" s="41"/>
      <c r="T80" s="41"/>
      <c r="U80" s="41"/>
      <c r="V80" s="41"/>
      <c r="W80" s="41"/>
      <c r="X80" s="41"/>
      <c r="Y80" s="41"/>
    </row>
    <row r="81" spans="1:25" x14ac:dyDescent="0.25">
      <c r="A81" s="41"/>
      <c r="B81" s="41"/>
      <c r="C81" s="41"/>
      <c r="D81" s="41"/>
      <c r="E81" s="41"/>
      <c r="F81" s="41"/>
      <c r="G81" s="41"/>
      <c r="J81" s="41"/>
      <c r="K81" s="41"/>
      <c r="L81" s="41"/>
      <c r="M81" s="41"/>
      <c r="N81" s="41"/>
      <c r="O81" s="41"/>
      <c r="P81" s="41"/>
      <c r="S81" s="41"/>
      <c r="T81" s="41"/>
      <c r="U81" s="41"/>
      <c r="V81" s="41"/>
      <c r="W81" s="41"/>
      <c r="X81" s="41"/>
      <c r="Y81" s="41"/>
    </row>
    <row r="82" spans="1:25" x14ac:dyDescent="0.25">
      <c r="A82" s="41"/>
      <c r="B82" s="41"/>
      <c r="C82" s="41"/>
      <c r="D82" s="41"/>
      <c r="E82" s="41"/>
      <c r="F82" s="41"/>
      <c r="G82" s="41"/>
      <c r="J82" s="41"/>
      <c r="K82" s="41"/>
      <c r="L82" s="41"/>
      <c r="M82" s="41"/>
      <c r="N82" s="41"/>
      <c r="O82" s="41"/>
      <c r="P82" s="41"/>
      <c r="S82" s="41"/>
      <c r="T82" s="41"/>
      <c r="U82" s="41"/>
      <c r="V82" s="41"/>
      <c r="W82" s="41"/>
      <c r="X82" s="41"/>
      <c r="Y82" s="41"/>
    </row>
    <row r="83" spans="1:25" x14ac:dyDescent="0.25">
      <c r="A83" s="41"/>
      <c r="B83" s="41"/>
      <c r="C83" s="41"/>
      <c r="D83" s="41"/>
      <c r="E83" s="41"/>
      <c r="F83" s="41"/>
      <c r="G83" s="41"/>
      <c r="J83" s="41"/>
      <c r="K83" s="41"/>
      <c r="L83" s="41"/>
      <c r="M83" s="41"/>
      <c r="N83" s="41"/>
      <c r="O83" s="41"/>
      <c r="P83" s="41"/>
      <c r="S83" s="41"/>
      <c r="T83" s="41"/>
      <c r="U83" s="41"/>
      <c r="V83" s="41"/>
      <c r="W83" s="41"/>
      <c r="X83" s="41"/>
      <c r="Y83" s="41"/>
    </row>
  </sheetData>
  <mergeCells count="22">
    <mergeCell ref="A1:K1"/>
    <mergeCell ref="B8:D8"/>
    <mergeCell ref="K8:M8"/>
    <mergeCell ref="T8:V8"/>
    <mergeCell ref="A15:G20"/>
    <mergeCell ref="J15:P20"/>
    <mergeCell ref="S15:Y20"/>
    <mergeCell ref="B29:D29"/>
    <mergeCell ref="K29:M29"/>
    <mergeCell ref="T29:V29"/>
    <mergeCell ref="A36:G41"/>
    <mergeCell ref="J36:P41"/>
    <mergeCell ref="S36:Y41"/>
    <mergeCell ref="A78:G83"/>
    <mergeCell ref="J78:P83"/>
    <mergeCell ref="S78:Y83"/>
    <mergeCell ref="B50:D50"/>
    <mergeCell ref="K50:M50"/>
    <mergeCell ref="T50:V50"/>
    <mergeCell ref="A57:G62"/>
    <mergeCell ref="J57:P62"/>
    <mergeCell ref="S57:Y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datasetgen1</vt:lpstr>
      <vt:lpstr>knn_test1</vt:lpstr>
      <vt:lpstr>datasetgen2</vt:lpstr>
      <vt:lpstr>knn_test2</vt:lpstr>
      <vt:lpstr>knn_template</vt:lpstr>
      <vt:lpstr>knn_k3.1</vt:lpstr>
      <vt:lpstr>knn3_koptimal</vt:lpstr>
      <vt:lpstr>datagen3</vt:lpstr>
      <vt:lpstr>knn4_k3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Sofia da Rocha Correia</dc:creator>
  <cp:lastModifiedBy>Mariana Sofia da Rocha Correia</cp:lastModifiedBy>
  <dcterms:created xsi:type="dcterms:W3CDTF">2026-07-24T14:18:36Z</dcterms:created>
  <dcterms:modified xsi:type="dcterms:W3CDTF">2026-08-21T16:10:03Z</dcterms:modified>
</cp:coreProperties>
</file>